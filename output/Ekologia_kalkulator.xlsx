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wietrze_Dane" sheetId="2" state="visible" r:id="rId2"/>
    <sheet xmlns:r="http://schemas.openxmlformats.org/officeDocument/2006/relationships" name="Powietrze_Mapowanie" sheetId="3" state="visible" r:id="rId3"/>
    <sheet xmlns:r="http://schemas.openxmlformats.org/officeDocument/2006/relationships" name="Powietrze_Wyniki" sheetId="4" state="visible" r:id="rId4"/>
    <sheet xmlns:r="http://schemas.openxmlformats.org/officeDocument/2006/relationships" name="Powietrze_Wykresy" sheetId="5" state="visible" r:id="rId5"/>
    <sheet xmlns:r="http://schemas.openxmlformats.org/officeDocument/2006/relationships" name="Gleba_Dane" sheetId="6" state="visible" r:id="rId6"/>
    <sheet xmlns:r="http://schemas.openxmlformats.org/officeDocument/2006/relationships" name="Gleba_Wyniki" sheetId="7" state="visible" r:id="rId7"/>
    <sheet xmlns:r="http://schemas.openxmlformats.org/officeDocument/2006/relationships" name="Gleba_Wykresy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Segoe UI"/>
      <b val="1"/>
      <color rgb="0024312A"/>
      <sz val="14"/>
    </font>
    <font>
      <name val="Segoe UI"/>
      <sz val="10"/>
    </font>
    <font>
      <name val="Segoe UI"/>
      <b val="1"/>
      <color rgb="00214E36"/>
      <sz val="11"/>
    </font>
  </fonts>
  <fills count="8">
    <fill>
      <patternFill/>
    </fill>
    <fill>
      <patternFill patternType="gray125"/>
    </fill>
    <fill>
      <patternFill patternType="solid">
        <fgColor rgb="00EAD7C0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7D7C9"/>
      </left>
      <right style="thin">
        <color rgb="00D7D7C9"/>
      </right>
      <top style="thin">
        <color rgb="00D7D7C9"/>
      </top>
      <bottom style="thin">
        <color rgb="00D7D7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pivotButton="0" quotePrefix="0" xfId="0"/>
    <xf numFmtId="165" fontId="2" fillId="4" borderId="1" pivotButton="0" quotePrefix="0" xfId="0"/>
    <xf numFmtId="165" fontId="2" fillId="5" borderId="1" pivotButton="0" quotePrefix="0" xfId="0"/>
    <xf numFmtId="0" fontId="2" fillId="4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2" fillId="7" borderId="1" pivotButton="0" quotePrefix="0" xfId="0"/>
    <xf numFmtId="0" fontId="2" fillId="3" borderId="1" pivotButton="0" quotePrefix="0" xfId="0"/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stężeń - O3</a:t>
            </a:r>
          </a:p>
        </rich>
      </tx>
    </title>
    <plotArea>
      <scatterChart>
        <scatterStyle val="smoothMarker"/>
        <ser>
          <idx val="0"/>
          <order val="0"/>
          <tx>
            <v>miejska</v>
          </tx>
          <spPr>
            <a:ln xmlns:a="http://schemas.openxmlformats.org/drawingml/2006/main" w="24000">
              <a:solidFill>
                <a:srgbClr val="2F6A48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'Powietrze_Dane'!$A$14:$A$23</f>
            </numRef>
          </xVal>
          <yVal>
            <numRef>
              <f>'Powietrze_Dane'!$B$14:$B$23</f>
            </numRef>
          </yVal>
        </ser>
        <ser>
          <idx val="1"/>
          <order val="1"/>
          <tx>
            <v>podmiejska</v>
          </tx>
          <spPr>
            <a:ln xmlns:a="http://schemas.openxmlformats.org/drawingml/2006/main" w="24000">
              <a:solidFill>
                <a:srgbClr val="3F6B8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'Powietrze_Dane'!$A$14:$A$23</f>
            </numRef>
          </xVal>
          <yVal>
            <numRef>
              <f>'Powietrze_Dane'!$C$14:$C$23</f>
            </numRef>
          </yVal>
        </ser>
        <ser>
          <idx val="2"/>
          <order val="2"/>
          <tx>
            <v>pozamiejska</v>
          </tx>
          <spPr>
            <a:ln xmlns:a="http://schemas.openxmlformats.org/drawingml/2006/main" w="24000">
              <a:solidFill>
                <a:srgbClr val="A5784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'Powietrze_Dane'!$A$14:$A$23</f>
            </numRef>
          </xVal>
          <yVal>
            <numRef>
              <f>'Powietrze_Dane'!$D$14:$D$23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Stężenie [µg/m3]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stężeń - SO2</a:t>
            </a:r>
          </a:p>
        </rich>
      </tx>
    </title>
    <plotArea>
      <scatterChart>
        <scatterStyle val="smoothMarker"/>
        <ser>
          <idx val="0"/>
          <order val="0"/>
          <tx>
            <v>miejska</v>
          </tx>
          <spPr>
            <a:ln xmlns:a="http://schemas.openxmlformats.org/drawingml/2006/main" w="24000">
              <a:solidFill>
                <a:srgbClr val="2F6A48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'Powietrze_Dane'!$A$29:$A$38</f>
            </numRef>
          </xVal>
          <yVal>
            <numRef>
              <f>'Powietrze_Dane'!$B$29:$B$38</f>
            </numRef>
          </yVal>
        </ser>
        <ser>
          <idx val="1"/>
          <order val="1"/>
          <tx>
            <v>podmiejska</v>
          </tx>
          <spPr>
            <a:ln xmlns:a="http://schemas.openxmlformats.org/drawingml/2006/main" w="24000">
              <a:solidFill>
                <a:srgbClr val="3F6B8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'Powietrze_Dane'!$A$29:$A$38</f>
            </numRef>
          </xVal>
          <yVal>
            <numRef>
              <f>'Powietrze_Dane'!$C$29:$C$38</f>
            </numRef>
          </yVal>
        </ser>
        <ser>
          <idx val="2"/>
          <order val="2"/>
          <tx>
            <v>pozamiejska</v>
          </tx>
          <spPr>
            <a:ln xmlns:a="http://schemas.openxmlformats.org/drawingml/2006/main" w="24000">
              <a:solidFill>
                <a:srgbClr val="A5784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'Powietrze_Dane'!$A$29:$A$38</f>
            </numRef>
          </xVal>
          <yVal>
            <numRef>
              <f>'Powietrze_Dane'!$D$29:$D$38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Stężenie [µg/m3]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stężeń - NO2</a:t>
            </a:r>
          </a:p>
        </rich>
      </tx>
    </title>
    <plotArea>
      <scatterChart>
        <scatterStyle val="smoothMarker"/>
        <ser>
          <idx val="0"/>
          <order val="0"/>
          <tx>
            <v>miejska</v>
          </tx>
          <spPr>
            <a:ln xmlns:a="http://schemas.openxmlformats.org/drawingml/2006/main" w="24000">
              <a:solidFill>
                <a:srgbClr val="2F6A48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'Powietrze_Dane'!$A$44:$A$53</f>
            </numRef>
          </xVal>
          <yVal>
            <numRef>
              <f>'Powietrze_Dane'!$B$44:$B$53</f>
            </numRef>
          </yVal>
        </ser>
        <ser>
          <idx val="1"/>
          <order val="1"/>
          <tx>
            <v>podmiejska</v>
          </tx>
          <spPr>
            <a:ln xmlns:a="http://schemas.openxmlformats.org/drawingml/2006/main" w="24000">
              <a:solidFill>
                <a:srgbClr val="3F6B8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'Powietrze_Dane'!$A$44:$A$53</f>
            </numRef>
          </xVal>
          <yVal>
            <numRef>
              <f>'Powietrze_Dane'!$C$44:$C$53</f>
            </numRef>
          </yVal>
        </ser>
        <ser>
          <idx val="2"/>
          <order val="2"/>
          <tx>
            <v>pozamiejska</v>
          </tx>
          <spPr>
            <a:ln xmlns:a="http://schemas.openxmlformats.org/drawingml/2006/main" w="24000">
              <a:solidFill>
                <a:srgbClr val="A5784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'Powietrze_Dane'!$A$44:$A$53</f>
            </numRef>
          </xVal>
          <yVal>
            <numRef>
              <f>'Powietrze_Dane'!$D$44:$D$53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Stężenie [µg/m3]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stężeń - PM10</a:t>
            </a:r>
          </a:p>
        </rich>
      </tx>
    </title>
    <plotArea>
      <scatterChart>
        <scatterStyle val="smoothMarker"/>
        <ser>
          <idx val="0"/>
          <order val="0"/>
          <tx>
            <v>miejska</v>
          </tx>
          <spPr>
            <a:ln xmlns:a="http://schemas.openxmlformats.org/drawingml/2006/main" w="24000">
              <a:solidFill>
                <a:srgbClr val="2F6A48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'Powietrze_Dane'!$A$59:$A$68</f>
            </numRef>
          </xVal>
          <yVal>
            <numRef>
              <f>'Powietrze_Dane'!$B$59:$B$68</f>
            </numRef>
          </yVal>
        </ser>
        <ser>
          <idx val="1"/>
          <order val="1"/>
          <tx>
            <v>podmiejska</v>
          </tx>
          <spPr>
            <a:ln xmlns:a="http://schemas.openxmlformats.org/drawingml/2006/main" w="24000">
              <a:solidFill>
                <a:srgbClr val="3F6B8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'Powietrze_Dane'!$A$59:$A$68</f>
            </numRef>
          </xVal>
          <yVal>
            <numRef>
              <f>'Powietrze_Dane'!$C$59:$C$68</f>
            </numRef>
          </yVal>
        </ser>
        <ser>
          <idx val="2"/>
          <order val="2"/>
          <tx>
            <v>pozamiejska</v>
          </tx>
          <spPr>
            <a:ln xmlns:a="http://schemas.openxmlformats.org/drawingml/2006/main" w="24000">
              <a:solidFill>
                <a:srgbClr val="A5784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'Powietrze_Dane'!$A$59:$A$68</f>
            </numRef>
          </xVal>
          <yVal>
            <numRef>
              <f>'Powietrze_Dane'!$D$59:$D$68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Stężenie [µg/m3]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stężeń - CO</a:t>
            </a:r>
          </a:p>
        </rich>
      </tx>
    </title>
    <plotArea>
      <scatterChart>
        <scatterStyle val="smoothMarker"/>
        <ser>
          <idx val="0"/>
          <order val="0"/>
          <tx>
            <v>miejska</v>
          </tx>
          <spPr>
            <a:ln xmlns:a="http://schemas.openxmlformats.org/drawingml/2006/main" w="24000">
              <a:solidFill>
                <a:srgbClr val="2F6A48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'Powietrze_Dane'!$A$74:$A$83</f>
            </numRef>
          </xVal>
          <yVal>
            <numRef>
              <f>'Powietrze_Dane'!$B$74:$B$83</f>
            </numRef>
          </yVal>
        </ser>
        <ser>
          <idx val="1"/>
          <order val="1"/>
          <tx>
            <v>podmiejska</v>
          </tx>
          <spPr>
            <a:ln xmlns:a="http://schemas.openxmlformats.org/drawingml/2006/main" w="24000">
              <a:solidFill>
                <a:srgbClr val="3F6B8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'Powietrze_Dane'!$A$74:$A$83</f>
            </numRef>
          </xVal>
          <yVal>
            <numRef>
              <f>'Powietrze_Dane'!$C$74:$C$83</f>
            </numRef>
          </yVal>
        </ser>
        <ser>
          <idx val="2"/>
          <order val="2"/>
          <tx>
            <v>pozamiejska</v>
          </tx>
          <spPr>
            <a:ln xmlns:a="http://schemas.openxmlformats.org/drawingml/2006/main" w="24000">
              <a:solidFill>
                <a:srgbClr val="A5784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'Powietrze_Dane'!$A$74:$A$83</f>
            </numRef>
          </xVal>
          <yVal>
            <numRef>
              <f>'Powietrze_Dane'!$D$74:$D$83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Stężenie [µg/m3]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 stężeń - Slot 6</a:t>
            </a:r>
          </a:p>
        </rich>
      </tx>
    </title>
    <plotArea>
      <scatterChart>
        <scatterStyle val="smoothMarker"/>
        <ser>
          <idx val="0"/>
          <order val="0"/>
          <tx>
            <v>miejska</v>
          </tx>
          <spPr>
            <a:ln xmlns:a="http://schemas.openxmlformats.org/drawingml/2006/main" w="24000">
              <a:solidFill>
                <a:srgbClr val="2F6A48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'Powietrze_Dane'!$A$89:$A$98</f>
            </numRef>
          </xVal>
          <yVal>
            <numRef>
              <f>'Powietrze_Dane'!$B$89:$B$98</f>
            </numRef>
          </yVal>
        </ser>
        <ser>
          <idx val="1"/>
          <order val="1"/>
          <tx>
            <v>podmiejska</v>
          </tx>
          <spPr>
            <a:ln xmlns:a="http://schemas.openxmlformats.org/drawingml/2006/main" w="24000">
              <a:solidFill>
                <a:srgbClr val="3F6B8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'Powietrze_Dane'!$A$89:$A$98</f>
            </numRef>
          </xVal>
          <yVal>
            <numRef>
              <f>'Powietrze_Dane'!$C$89:$C$98</f>
            </numRef>
          </yVal>
        </ser>
        <ser>
          <idx val="2"/>
          <order val="2"/>
          <tx>
            <v>pozamiejska</v>
          </tx>
          <spPr>
            <a:ln xmlns:a="http://schemas.openxmlformats.org/drawingml/2006/main" w="24000">
              <a:solidFill>
                <a:srgbClr val="A5784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'Powietrze_Dane'!$A$89:$A$98</f>
            </numRef>
          </xVal>
          <yVal>
            <numRef>
              <f>'Powietrze_Dane'!$D$89:$D$98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Stężenie [µg/m3]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Wizualizacje pomocnicze - porównanie pH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'Gleba_Wykresy'!$A$5:$A$8</f>
            </numRef>
          </cat>
          <val>
            <numRef>
              <f>'Gleba_Wykresy'!$B$5:$B$8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Wizualizacje pomocnicze - Hh, S i 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'Gleba_Wykresy'!$A$13:$A$15</f>
            </numRef>
          </cat>
          <val>
            <numRef>
              <f>'Gleba_Wykresy'!$B$13:$B$15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Wizualizacje pomocnicze - CaO i CaCO3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'Gleba_Wykresy'!$A$20:$A$21</f>
            </numRef>
          </cat>
          <val>
            <numRef>
              <f>'Gleba_Wykresy'!$B$20:$B$21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19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35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35</row>
      <rowOff>0</rowOff>
    </from>
    <ext cx="36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Ekologia - instrukcja do workbooka</t>
        </is>
      </c>
    </row>
    <row r="2"/>
    <row r="3">
      <c r="A3" s="2" t="inlineStr">
        <is>
          <t>Ten workbook wspiera dwa ćwiczenia: poziom zanieczyszczenia powietrza oraz parametry fizykochemiczne gleby.</t>
        </is>
      </c>
    </row>
    <row r="4">
      <c r="A4" s="2" t="inlineStr">
        <is>
          <t>Kolory: niebieski = dane wejściowe, szary = stałe, jasnoszary = formuły, żółty = uwagi i ostrzeżenia.</t>
        </is>
      </c>
    </row>
    <row r="5">
      <c r="A5" s="2" t="inlineStr">
        <is>
          <t>Powietrze: wpisz alias zanieczyszczenia, nazwę, jednostkę i 10 kolejnych dni danych dla 3 stacji.</t>
        </is>
      </c>
    </row>
    <row r="6">
      <c r="A6" s="2" t="inlineStr">
        <is>
          <t>Gleba: wpisz surowe pomiary pH, objętości i stężenia. Arkusz wynikowy obliczy Hh, S, T, Mz, Hh_ha, CaO i CaCO3.</t>
        </is>
      </c>
    </row>
    <row r="7"/>
    <row r="8">
      <c r="A8" s="2" t="inlineStr">
        <is>
          <t>Wzory zaimplementowane w workbooku:</t>
        </is>
      </c>
    </row>
    <row r="9">
      <c r="A9" s="2" t="inlineStr">
        <is>
          <t>Psi = Σ(Cx / D24x)</t>
        </is>
      </c>
    </row>
    <row r="10">
      <c r="A10" s="2" t="inlineStr">
        <is>
          <t>Tau = Σ(Cx * alpha_t)</t>
        </is>
      </c>
    </row>
    <row r="11">
      <c r="A11" s="2" t="inlineStr">
        <is>
          <t>Hh = V * c * 10 * k</t>
        </is>
      </c>
    </row>
    <row r="12">
      <c r="A12" s="2" t="inlineStr">
        <is>
          <t>Mz = p * h * rho</t>
        </is>
      </c>
    </row>
    <row r="13">
      <c r="A13" s="2" t="inlineStr">
        <is>
          <t>Hh_ha = Hh * Mz / 100</t>
        </is>
      </c>
    </row>
    <row r="14">
      <c r="A14" s="2" t="inlineStr">
        <is>
          <t>CaO = Hh_ha * 0,028</t>
        </is>
      </c>
    </row>
    <row r="15">
      <c r="A15" s="2" t="inlineStr">
        <is>
          <t>CaCO3 = Hh_ha * 0,050</t>
        </is>
      </c>
    </row>
    <row r="16">
      <c r="A16" s="2" t="inlineStr">
        <is>
          <t>S = (V * c - V1 * c1) * 4 * 5</t>
        </is>
      </c>
    </row>
    <row r="17">
      <c r="A17" s="2" t="inlineStr">
        <is>
          <t>T = Hh + S</t>
        </is>
      </c>
    </row>
    <row r="18"/>
    <row r="19">
      <c r="A19" s="2" t="inlineStr">
        <is>
          <t>Założenie: klasyfikacja gleby korzysta ze średniego pH badanej próbki w KCl.</t>
        </is>
      </c>
    </row>
    <row r="20">
      <c r="A20" s="2" t="inlineStr">
        <is>
          <t>Brakujących limitów i współczynników toksyczności nie uzupełniono automatycznie - workbook pokazuje wtedy ostrzeżenia.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36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Powietrze - dane wejściowe</t>
        </is>
      </c>
    </row>
    <row r="2">
      <c r="A2" s="3" t="inlineStr">
        <is>
          <t>Data początkowa</t>
        </is>
      </c>
      <c r="B2" s="4" t="n">
        <v>46082</v>
      </c>
    </row>
    <row r="3">
      <c r="A3" s="3" t="inlineStr">
        <is>
          <t>Data końcowa</t>
        </is>
      </c>
      <c r="B3" s="5">
        <f>B2+9</f>
        <v/>
      </c>
    </row>
    <row r="4">
      <c r="A4" s="3" t="inlineStr">
        <is>
          <t>Godzina pomiaru</t>
        </is>
      </c>
      <c r="B4" s="6" t="inlineStr">
        <is>
          <t>08:00</t>
        </is>
      </c>
    </row>
    <row r="5"/>
    <row r="6">
      <c r="A6" s="7" t="inlineStr">
        <is>
          <t>Typ obszaru</t>
        </is>
      </c>
      <c r="B6" s="7" t="inlineStr">
        <is>
          <t>Typ punktu</t>
        </is>
      </c>
      <c r="C6" s="7" t="inlineStr">
        <is>
          <t>Województwo</t>
        </is>
      </c>
      <c r="D6" s="7" t="inlineStr">
        <is>
          <t>Adres</t>
        </is>
      </c>
      <c r="E6" s="7" t="inlineStr">
        <is>
          <t>Nazwa stacji</t>
        </is>
      </c>
    </row>
    <row r="7">
      <c r="A7" s="8" t="inlineStr">
        <is>
          <t>miejska</t>
        </is>
      </c>
      <c r="B7" s="8" t="inlineStr">
        <is>
          <t>komunikacyjna</t>
        </is>
      </c>
      <c r="C7" s="8" t="inlineStr">
        <is>
          <t>dolnośląskie</t>
        </is>
      </c>
      <c r="D7" s="8" t="inlineStr">
        <is>
          <t>ul. Wyb. J. Conrada-Korzeniowskiego 18, Wrocław</t>
        </is>
      </c>
      <c r="E7" s="8" t="inlineStr">
        <is>
          <t>Stacja Wrocław - śródmieście</t>
        </is>
      </c>
    </row>
    <row r="8">
      <c r="A8" s="8" t="inlineStr">
        <is>
          <t>podmiejska</t>
        </is>
      </c>
      <c r="B8" s="8" t="inlineStr">
        <is>
          <t>tło</t>
        </is>
      </c>
      <c r="C8" s="8" t="inlineStr">
        <is>
          <t>dolnośląskie</t>
        </is>
      </c>
      <c r="D8" s="8" t="inlineStr">
        <is>
          <t>ul. Parkowa 3, Długołęka</t>
        </is>
      </c>
      <c r="E8" s="8" t="inlineStr">
        <is>
          <t>Stacja Długołęka</t>
        </is>
      </c>
    </row>
    <row r="9">
      <c r="A9" s="8" t="inlineStr">
        <is>
          <t>pozamiejska</t>
        </is>
      </c>
      <c r="B9" s="8" t="inlineStr">
        <is>
          <t>tło</t>
        </is>
      </c>
      <c r="C9" s="8" t="inlineStr">
        <is>
          <t>dolnośląskie</t>
        </is>
      </c>
      <c r="D9" s="8" t="inlineStr">
        <is>
          <t>Jeleniów 12, teren referencyjny</t>
        </is>
      </c>
      <c r="E9" s="8" t="inlineStr">
        <is>
          <t>Stacja Jeleniów</t>
        </is>
      </c>
    </row>
    <row r="10"/>
    <row r="11"/>
    <row r="12">
      <c r="A12" s="9" t="inlineStr">
        <is>
          <t>Zanieczyszczenie 1</t>
        </is>
      </c>
      <c r="B12" s="8" t="inlineStr">
        <is>
          <t>O3</t>
        </is>
      </c>
      <c r="C12" s="8" t="inlineStr">
        <is>
          <t>ozon</t>
        </is>
      </c>
      <c r="D12" s="8" t="inlineStr">
        <is>
          <t>µg/m3</t>
        </is>
      </c>
      <c r="E12" s="10" t="inlineStr">
        <is>
          <t>Wprowadź 10 kolejnych dni danych</t>
        </is>
      </c>
    </row>
    <row r="13">
      <c r="A13" s="7" t="inlineStr">
        <is>
          <t>Data</t>
        </is>
      </c>
      <c r="B13" s="7" t="inlineStr">
        <is>
          <t>Miejska</t>
        </is>
      </c>
      <c r="C13" s="7" t="inlineStr">
        <is>
          <t>Podmiejska</t>
        </is>
      </c>
      <c r="D13" s="7" t="inlineStr">
        <is>
          <t>Pozamiejska</t>
        </is>
      </c>
    </row>
    <row r="14">
      <c r="A14" s="5">
        <f>$B$2+0</f>
        <v/>
      </c>
      <c r="B14" s="6" t="n">
        <v>65</v>
      </c>
      <c r="C14" s="6" t="n">
        <v>58</v>
      </c>
      <c r="D14" s="6" t="n">
        <v>50</v>
      </c>
    </row>
    <row r="15">
      <c r="A15" s="5">
        <f>$B$2+1</f>
        <v/>
      </c>
      <c r="B15" s="6" t="n">
        <v>72</v>
      </c>
      <c r="C15" s="6" t="n">
        <v>60</v>
      </c>
      <c r="D15" s="6" t="n">
        <v>53</v>
      </c>
    </row>
    <row r="16">
      <c r="A16" s="5">
        <f>$B$2+2</f>
        <v/>
      </c>
      <c r="B16" s="6" t="n">
        <v>80</v>
      </c>
      <c r="C16" s="6" t="n">
        <v>66</v>
      </c>
      <c r="D16" s="6" t="n">
        <v>57</v>
      </c>
    </row>
    <row r="17">
      <c r="A17" s="5">
        <f>$B$2+3</f>
        <v/>
      </c>
      <c r="B17" s="6" t="n">
        <v>78</v>
      </c>
      <c r="C17" s="6" t="n">
        <v>69</v>
      </c>
      <c r="D17" s="6" t="n">
        <v>61</v>
      </c>
    </row>
    <row r="18">
      <c r="A18" s="5">
        <f>$B$2+4</f>
        <v/>
      </c>
      <c r="B18" s="6" t="n">
        <v>74</v>
      </c>
      <c r="C18" s="6" t="n">
        <v>67</v>
      </c>
      <c r="D18" s="6" t="n">
        <v>59</v>
      </c>
    </row>
    <row r="19">
      <c r="A19" s="5">
        <f>$B$2+5</f>
        <v/>
      </c>
      <c r="B19" s="6" t="n">
        <v>70</v>
      </c>
      <c r="C19" s="6" t="n">
        <v>62</v>
      </c>
      <c r="D19" s="6" t="n">
        <v>56</v>
      </c>
    </row>
    <row r="20">
      <c r="A20" s="5">
        <f>$B$2+6</f>
        <v/>
      </c>
      <c r="B20" s="6" t="n">
        <v>68</v>
      </c>
      <c r="C20" s="6" t="n">
        <v>60</v>
      </c>
      <c r="D20" s="6" t="n">
        <v>54</v>
      </c>
    </row>
    <row r="21">
      <c r="A21" s="5">
        <f>$B$2+7</f>
        <v/>
      </c>
      <c r="B21" s="6" t="n">
        <v>66</v>
      </c>
      <c r="C21" s="6" t="n">
        <v>59</v>
      </c>
      <c r="D21" s="6" t="n">
        <v>52</v>
      </c>
    </row>
    <row r="22">
      <c r="A22" s="5">
        <f>$B$2+8</f>
        <v/>
      </c>
      <c r="B22" s="6" t="n">
        <v>64</v>
      </c>
      <c r="C22" s="6" t="n">
        <v>56</v>
      </c>
      <c r="D22" s="6" t="n">
        <v>49</v>
      </c>
    </row>
    <row r="23">
      <c r="A23" s="5">
        <f>$B$2+9</f>
        <v/>
      </c>
      <c r="B23" s="6" t="n">
        <v>61</v>
      </c>
      <c r="C23" s="6" t="n">
        <v>54</v>
      </c>
      <c r="D23" s="6" t="n">
        <v>47</v>
      </c>
    </row>
    <row r="24">
      <c r="A24" s="3" t="inlineStr">
        <is>
          <t>Godzina pomiaru</t>
        </is>
      </c>
      <c r="B24" s="11">
        <f>$B$4</f>
        <v/>
      </c>
    </row>
    <row r="25"/>
    <row r="26"/>
    <row r="27">
      <c r="A27" s="9" t="inlineStr">
        <is>
          <t>Zanieczyszczenie 2</t>
        </is>
      </c>
      <c r="B27" s="8" t="inlineStr">
        <is>
          <t>SO2</t>
        </is>
      </c>
      <c r="C27" s="8" t="inlineStr">
        <is>
          <t>ditlenek siarki</t>
        </is>
      </c>
      <c r="D27" s="8" t="inlineStr">
        <is>
          <t>µg/m3</t>
        </is>
      </c>
      <c r="E27" s="10" t="inlineStr">
        <is>
          <t>Wprowadź 10 kolejnych dni danych</t>
        </is>
      </c>
    </row>
    <row r="28">
      <c r="A28" s="7" t="inlineStr">
        <is>
          <t>Data</t>
        </is>
      </c>
      <c r="B28" s="7" t="inlineStr">
        <is>
          <t>Miejska</t>
        </is>
      </c>
      <c r="C28" s="7" t="inlineStr">
        <is>
          <t>Podmiejska</t>
        </is>
      </c>
      <c r="D28" s="7" t="inlineStr">
        <is>
          <t>Pozamiejska</t>
        </is>
      </c>
    </row>
    <row r="29">
      <c r="A29" s="5">
        <f>$B$2+0</f>
        <v/>
      </c>
      <c r="B29" s="6" t="n">
        <v>21</v>
      </c>
      <c r="C29" s="6" t="n">
        <v>17</v>
      </c>
      <c r="D29" s="6" t="n">
        <v>13</v>
      </c>
    </row>
    <row r="30">
      <c r="A30" s="5">
        <f>$B$2+1</f>
        <v/>
      </c>
      <c r="B30" s="6" t="n">
        <v>22</v>
      </c>
      <c r="C30" s="6" t="n">
        <v>18</v>
      </c>
      <c r="D30" s="6" t="n">
        <v>14</v>
      </c>
    </row>
    <row r="31">
      <c r="A31" s="5">
        <f>$B$2+2</f>
        <v/>
      </c>
      <c r="B31" s="6" t="n">
        <v>23</v>
      </c>
      <c r="C31" s="6" t="n">
        <v>19</v>
      </c>
      <c r="D31" s="6" t="n">
        <v>15</v>
      </c>
    </row>
    <row r="32">
      <c r="A32" s="5">
        <f>$B$2+3</f>
        <v/>
      </c>
      <c r="B32" s="6" t="n">
        <v>24</v>
      </c>
      <c r="C32" s="6" t="n">
        <v>20</v>
      </c>
      <c r="D32" s="6" t="n">
        <v>15</v>
      </c>
    </row>
    <row r="33">
      <c r="A33" s="5">
        <f>$B$2+4</f>
        <v/>
      </c>
      <c r="B33" s="6" t="n">
        <v>24</v>
      </c>
      <c r="C33" s="6" t="n">
        <v>20</v>
      </c>
      <c r="D33" s="6" t="n">
        <v>16</v>
      </c>
    </row>
    <row r="34">
      <c r="A34" s="5">
        <f>$B$2+5</f>
        <v/>
      </c>
      <c r="B34" s="6" t="n">
        <v>25</v>
      </c>
      <c r="C34" s="6" t="n">
        <v>19</v>
      </c>
      <c r="D34" s="6" t="n">
        <v>15</v>
      </c>
    </row>
    <row r="35">
      <c r="A35" s="5">
        <f>$B$2+6</f>
        <v/>
      </c>
      <c r="B35" s="6" t="n">
        <v>23</v>
      </c>
      <c r="C35" s="6" t="n">
        <v>18</v>
      </c>
      <c r="D35" s="6" t="n">
        <v>14</v>
      </c>
    </row>
    <row r="36">
      <c r="A36" s="5">
        <f>$B$2+7</f>
        <v/>
      </c>
      <c r="B36" s="6" t="n">
        <v>22</v>
      </c>
      <c r="C36" s="6" t="n">
        <v>18</v>
      </c>
      <c r="D36" s="6" t="n">
        <v>14</v>
      </c>
    </row>
    <row r="37">
      <c r="A37" s="5">
        <f>$B$2+8</f>
        <v/>
      </c>
      <c r="B37" s="6" t="n">
        <v>21</v>
      </c>
      <c r="C37" s="6" t="n">
        <v>17</v>
      </c>
      <c r="D37" s="6" t="n">
        <v>13</v>
      </c>
    </row>
    <row r="38">
      <c r="A38" s="5">
        <f>$B$2+9</f>
        <v/>
      </c>
      <c r="B38" s="6" t="n">
        <v>20</v>
      </c>
      <c r="C38" s="6" t="n">
        <v>16</v>
      </c>
      <c r="D38" s="6" t="n">
        <v>13</v>
      </c>
    </row>
    <row r="39">
      <c r="A39" s="3" t="inlineStr">
        <is>
          <t>Godzina pomiaru</t>
        </is>
      </c>
      <c r="B39" s="11">
        <f>$B$4</f>
        <v/>
      </c>
    </row>
    <row r="40"/>
    <row r="41"/>
    <row r="42">
      <c r="A42" s="9" t="inlineStr">
        <is>
          <t>Zanieczyszczenie 3</t>
        </is>
      </c>
      <c r="B42" s="8" t="inlineStr">
        <is>
          <t>NO2</t>
        </is>
      </c>
      <c r="C42" s="8" t="inlineStr">
        <is>
          <t>ditlenek azotu</t>
        </is>
      </c>
      <c r="D42" s="8" t="inlineStr">
        <is>
          <t>µg/m3</t>
        </is>
      </c>
      <c r="E42" s="10" t="inlineStr">
        <is>
          <t>Wprowadź 10 kolejnych dni danych</t>
        </is>
      </c>
    </row>
    <row r="43">
      <c r="A43" s="7" t="inlineStr">
        <is>
          <t>Data</t>
        </is>
      </c>
      <c r="B43" s="7" t="inlineStr">
        <is>
          <t>Miejska</t>
        </is>
      </c>
      <c r="C43" s="7" t="inlineStr">
        <is>
          <t>Podmiejska</t>
        </is>
      </c>
      <c r="D43" s="7" t="inlineStr">
        <is>
          <t>Pozamiejska</t>
        </is>
      </c>
    </row>
    <row r="44">
      <c r="A44" s="5">
        <f>$B$2+0</f>
        <v/>
      </c>
      <c r="B44" s="6" t="n">
        <v>88</v>
      </c>
      <c r="C44" s="6" t="n">
        <v>61</v>
      </c>
      <c r="D44" s="6" t="n">
        <v>39</v>
      </c>
    </row>
    <row r="45">
      <c r="A45" s="5">
        <f>$B$2+1</f>
        <v/>
      </c>
      <c r="B45" s="6" t="n">
        <v>92</v>
      </c>
      <c r="C45" s="6" t="n">
        <v>64</v>
      </c>
      <c r="D45" s="6" t="n">
        <v>41</v>
      </c>
    </row>
    <row r="46">
      <c r="A46" s="5">
        <f>$B$2+2</f>
        <v/>
      </c>
      <c r="B46" s="6" t="n">
        <v>96</v>
      </c>
      <c r="C46" s="6" t="n">
        <v>67</v>
      </c>
      <c r="D46" s="6" t="n">
        <v>43</v>
      </c>
    </row>
    <row r="47">
      <c r="A47" s="5">
        <f>$B$2+3</f>
        <v/>
      </c>
      <c r="B47" s="6" t="n">
        <v>101</v>
      </c>
      <c r="C47" s="6" t="n">
        <v>69</v>
      </c>
      <c r="D47" s="6" t="n">
        <v>45</v>
      </c>
    </row>
    <row r="48">
      <c r="A48" s="5">
        <f>$B$2+4</f>
        <v/>
      </c>
      <c r="B48" s="6" t="n">
        <v>98</v>
      </c>
      <c r="C48" s="6" t="n">
        <v>70</v>
      </c>
      <c r="D48" s="6" t="n">
        <v>44</v>
      </c>
    </row>
    <row r="49">
      <c r="A49" s="5">
        <f>$B$2+5</f>
        <v/>
      </c>
      <c r="B49" s="6" t="n">
        <v>95</v>
      </c>
      <c r="C49" s="6" t="n">
        <v>68</v>
      </c>
      <c r="D49" s="6" t="n">
        <v>42</v>
      </c>
    </row>
    <row r="50">
      <c r="A50" s="5">
        <f>$B$2+6</f>
        <v/>
      </c>
      <c r="B50" s="6" t="n">
        <v>90</v>
      </c>
      <c r="C50" s="6" t="n">
        <v>65</v>
      </c>
      <c r="D50" s="6" t="n">
        <v>41</v>
      </c>
    </row>
    <row r="51">
      <c r="A51" s="5">
        <f>$B$2+7</f>
        <v/>
      </c>
      <c r="B51" s="6" t="n">
        <v>87</v>
      </c>
      <c r="C51" s="6" t="n">
        <v>63</v>
      </c>
      <c r="D51" s="6" t="n">
        <v>39</v>
      </c>
    </row>
    <row r="52">
      <c r="A52" s="5">
        <f>$B$2+8</f>
        <v/>
      </c>
      <c r="B52" s="6" t="n">
        <v>84</v>
      </c>
      <c r="C52" s="6" t="n">
        <v>61</v>
      </c>
      <c r="D52" s="6" t="n">
        <v>38</v>
      </c>
    </row>
    <row r="53">
      <c r="A53" s="5">
        <f>$B$2+9</f>
        <v/>
      </c>
      <c r="B53" s="6" t="n">
        <v>82</v>
      </c>
      <c r="C53" s="6" t="n">
        <v>59</v>
      </c>
      <c r="D53" s="6" t="n">
        <v>37</v>
      </c>
    </row>
    <row r="54">
      <c r="A54" s="3" t="inlineStr">
        <is>
          <t>Godzina pomiaru</t>
        </is>
      </c>
      <c r="B54" s="11">
        <f>$B$4</f>
        <v/>
      </c>
    </row>
    <row r="55"/>
    <row r="56"/>
    <row r="57">
      <c r="A57" s="9" t="inlineStr">
        <is>
          <t>Zanieczyszczenie 4</t>
        </is>
      </c>
      <c r="B57" s="8" t="inlineStr">
        <is>
          <t>PM10</t>
        </is>
      </c>
      <c r="C57" s="8" t="inlineStr">
        <is>
          <t>pył zawieszony PM10</t>
        </is>
      </c>
      <c r="D57" s="8" t="inlineStr">
        <is>
          <t>µg/m3</t>
        </is>
      </c>
      <c r="E57" s="10" t="inlineStr">
        <is>
          <t>Wprowadź 10 kolejnych dni danych</t>
        </is>
      </c>
    </row>
    <row r="58">
      <c r="A58" s="7" t="inlineStr">
        <is>
          <t>Data</t>
        </is>
      </c>
      <c r="B58" s="7" t="inlineStr">
        <is>
          <t>Miejska</t>
        </is>
      </c>
      <c r="C58" s="7" t="inlineStr">
        <is>
          <t>Podmiejska</t>
        </is>
      </c>
      <c r="D58" s="7" t="inlineStr">
        <is>
          <t>Pozamiejska</t>
        </is>
      </c>
    </row>
    <row r="59">
      <c r="A59" s="5">
        <f>$B$2+0</f>
        <v/>
      </c>
      <c r="B59" s="6" t="n">
        <v>29</v>
      </c>
      <c r="C59" s="6" t="n">
        <v>23</v>
      </c>
      <c r="D59" s="6" t="n">
        <v>18</v>
      </c>
    </row>
    <row r="60">
      <c r="A60" s="5">
        <f>$B$2+1</f>
        <v/>
      </c>
      <c r="B60" s="6" t="n">
        <v>31</v>
      </c>
      <c r="C60" s="6" t="n">
        <v>24</v>
      </c>
      <c r="D60" s="6" t="n">
        <v>19</v>
      </c>
    </row>
    <row r="61">
      <c r="A61" s="5">
        <f>$B$2+2</f>
        <v/>
      </c>
      <c r="B61" s="6" t="n">
        <v>34</v>
      </c>
      <c r="C61" s="6" t="n">
        <v>26</v>
      </c>
      <c r="D61" s="6" t="n">
        <v>21</v>
      </c>
    </row>
    <row r="62">
      <c r="A62" s="5">
        <f>$B$2+3</f>
        <v/>
      </c>
      <c r="B62" s="6" t="n">
        <v>36</v>
      </c>
      <c r="C62" s="6" t="n">
        <v>27</v>
      </c>
      <c r="D62" s="6" t="n">
        <v>22</v>
      </c>
    </row>
    <row r="63">
      <c r="A63" s="5">
        <f>$B$2+4</f>
        <v/>
      </c>
      <c r="B63" s="6" t="n">
        <v>35</v>
      </c>
      <c r="C63" s="6" t="n">
        <v>28</v>
      </c>
      <c r="D63" s="6" t="n">
        <v>21</v>
      </c>
    </row>
    <row r="64">
      <c r="A64" s="5">
        <f>$B$2+5</f>
        <v/>
      </c>
      <c r="B64" s="6" t="n">
        <v>33</v>
      </c>
      <c r="C64" s="6" t="n">
        <v>27</v>
      </c>
      <c r="D64" s="6" t="n">
        <v>20</v>
      </c>
    </row>
    <row r="65">
      <c r="A65" s="5">
        <f>$B$2+6</f>
        <v/>
      </c>
      <c r="B65" s="6" t="n">
        <v>30</v>
      </c>
      <c r="C65" s="6" t="n">
        <v>25</v>
      </c>
      <c r="D65" s="6" t="n">
        <v>19</v>
      </c>
    </row>
    <row r="66">
      <c r="A66" s="5">
        <f>$B$2+7</f>
        <v/>
      </c>
      <c r="B66" s="6" t="n">
        <v>28</v>
      </c>
      <c r="C66" s="6" t="n">
        <v>24</v>
      </c>
      <c r="D66" s="6" t="n">
        <v>18</v>
      </c>
    </row>
    <row r="67">
      <c r="A67" s="5">
        <f>$B$2+8</f>
        <v/>
      </c>
      <c r="B67" s="6" t="n">
        <v>27</v>
      </c>
      <c r="C67" s="6" t="n">
        <v>23</v>
      </c>
      <c r="D67" s="6" t="n">
        <v>17</v>
      </c>
    </row>
    <row r="68">
      <c r="A68" s="5">
        <f>$B$2+9</f>
        <v/>
      </c>
      <c r="B68" s="6" t="n">
        <v>26</v>
      </c>
      <c r="C68" s="6" t="n">
        <v>22</v>
      </c>
      <c r="D68" s="6" t="n">
        <v>17</v>
      </c>
    </row>
    <row r="69">
      <c r="A69" s="3" t="inlineStr">
        <is>
          <t>Godzina pomiaru</t>
        </is>
      </c>
      <c r="B69" s="11">
        <f>$B$4</f>
        <v/>
      </c>
    </row>
    <row r="70"/>
    <row r="71"/>
    <row r="72">
      <c r="A72" s="9" t="inlineStr">
        <is>
          <t>Zanieczyszczenie 5</t>
        </is>
      </c>
      <c r="B72" s="8" t="inlineStr">
        <is>
          <t>CO</t>
        </is>
      </c>
      <c r="C72" s="8" t="inlineStr">
        <is>
          <t>tlenek węgla</t>
        </is>
      </c>
      <c r="D72" s="8" t="inlineStr">
        <is>
          <t>µg/m3</t>
        </is>
      </c>
      <c r="E72" s="10" t="inlineStr">
        <is>
          <t>Wprowadź 10 kolejnych dni danych</t>
        </is>
      </c>
    </row>
    <row r="73">
      <c r="A73" s="7" t="inlineStr">
        <is>
          <t>Data</t>
        </is>
      </c>
      <c r="B73" s="7" t="inlineStr">
        <is>
          <t>Miejska</t>
        </is>
      </c>
      <c r="C73" s="7" t="inlineStr">
        <is>
          <t>Podmiejska</t>
        </is>
      </c>
      <c r="D73" s="7" t="inlineStr">
        <is>
          <t>Pozamiejska</t>
        </is>
      </c>
    </row>
    <row r="74">
      <c r="A74" s="5">
        <f>$B$2+0</f>
        <v/>
      </c>
      <c r="B74" s="6" t="n">
        <v>1600</v>
      </c>
      <c r="C74" s="6" t="n">
        <v>1300</v>
      </c>
      <c r="D74" s="6" t="n">
        <v>900</v>
      </c>
    </row>
    <row r="75">
      <c r="A75" s="5">
        <f>$B$2+1</f>
        <v/>
      </c>
      <c r="B75" s="6" t="n">
        <v>1700</v>
      </c>
      <c r="C75" s="6" t="n">
        <v>1360</v>
      </c>
      <c r="D75" s="6" t="n">
        <v>940</v>
      </c>
    </row>
    <row r="76">
      <c r="A76" s="5">
        <f>$B$2+2</f>
        <v/>
      </c>
      <c r="B76" s="6" t="n">
        <v>1800</v>
      </c>
      <c r="C76" s="6" t="n">
        <v>1400</v>
      </c>
      <c r="D76" s="6" t="n">
        <v>980</v>
      </c>
    </row>
    <row r="77">
      <c r="A77" s="5">
        <f>$B$2+3</f>
        <v/>
      </c>
      <c r="B77" s="6" t="n">
        <v>1750</v>
      </c>
      <c r="C77" s="6" t="n">
        <v>1380</v>
      </c>
      <c r="D77" s="6" t="n">
        <v>990</v>
      </c>
    </row>
    <row r="78">
      <c r="A78" s="5">
        <f>$B$2+4</f>
        <v/>
      </c>
      <c r="B78" s="6" t="n">
        <v>1690</v>
      </c>
      <c r="C78" s="6" t="n">
        <v>1340</v>
      </c>
      <c r="D78" s="6" t="n">
        <v>960</v>
      </c>
    </row>
    <row r="79">
      <c r="A79" s="5">
        <f>$B$2+5</f>
        <v/>
      </c>
      <c r="B79" s="6" t="n">
        <v>1650</v>
      </c>
      <c r="C79" s="6" t="n">
        <v>1320</v>
      </c>
      <c r="D79" s="6" t="n">
        <v>940</v>
      </c>
    </row>
    <row r="80">
      <c r="A80" s="5">
        <f>$B$2+6</f>
        <v/>
      </c>
      <c r="B80" s="6" t="n">
        <v>1620</v>
      </c>
      <c r="C80" s="6" t="n">
        <v>1290</v>
      </c>
      <c r="D80" s="6" t="n">
        <v>920</v>
      </c>
    </row>
    <row r="81">
      <c r="A81" s="5">
        <f>$B$2+7</f>
        <v/>
      </c>
      <c r="B81" s="6" t="n">
        <v>1580</v>
      </c>
      <c r="C81" s="6" t="n">
        <v>1260</v>
      </c>
      <c r="D81" s="6" t="n">
        <v>900</v>
      </c>
    </row>
    <row r="82">
      <c r="A82" s="5">
        <f>$B$2+8</f>
        <v/>
      </c>
      <c r="B82" s="6" t="n">
        <v>1540</v>
      </c>
      <c r="C82" s="6" t="n">
        <v>1230</v>
      </c>
      <c r="D82" s="6" t="n">
        <v>880</v>
      </c>
    </row>
    <row r="83">
      <c r="A83" s="5">
        <f>$B$2+9</f>
        <v/>
      </c>
      <c r="B83" s="6" t="n">
        <v>1500</v>
      </c>
      <c r="C83" s="6" t="n">
        <v>1210</v>
      </c>
      <c r="D83" s="6" t="n">
        <v>860</v>
      </c>
    </row>
    <row r="84">
      <c r="A84" s="3" t="inlineStr">
        <is>
          <t>Godzina pomiaru</t>
        </is>
      </c>
      <c r="B84" s="11">
        <f>$B$4</f>
        <v/>
      </c>
    </row>
    <row r="85"/>
    <row r="86"/>
    <row r="87">
      <c r="A87" s="9" t="inlineStr">
        <is>
          <t>Zanieczyszczenie 6</t>
        </is>
      </c>
      <c r="B87" s="8" t="inlineStr"/>
      <c r="C87" s="8" t="inlineStr"/>
      <c r="D87" s="8" t="inlineStr">
        <is>
          <t>µg/m3</t>
        </is>
      </c>
      <c r="E87" s="10" t="inlineStr">
        <is>
          <t>Wprowadź 10 kolejnych dni danych</t>
        </is>
      </c>
    </row>
    <row r="88">
      <c r="A88" s="7" t="inlineStr">
        <is>
          <t>Data</t>
        </is>
      </c>
      <c r="B88" s="7" t="inlineStr">
        <is>
          <t>Miejska</t>
        </is>
      </c>
      <c r="C88" s="7" t="inlineStr">
        <is>
          <t>Podmiejska</t>
        </is>
      </c>
      <c r="D88" s="7" t="inlineStr">
        <is>
          <t>Pozamiejska</t>
        </is>
      </c>
    </row>
    <row r="89">
      <c r="A89" s="5">
        <f>$B$2+0</f>
        <v/>
      </c>
      <c r="B89" s="6" t="n"/>
      <c r="C89" s="6" t="n"/>
      <c r="D89" s="6" t="n"/>
    </row>
    <row r="90">
      <c r="A90" s="5">
        <f>$B$2+1</f>
        <v/>
      </c>
      <c r="B90" s="6" t="n"/>
      <c r="C90" s="6" t="n"/>
      <c r="D90" s="6" t="n"/>
    </row>
    <row r="91">
      <c r="A91" s="5">
        <f>$B$2+2</f>
        <v/>
      </c>
      <c r="B91" s="6" t="n"/>
      <c r="C91" s="6" t="n"/>
      <c r="D91" s="6" t="n"/>
    </row>
    <row r="92">
      <c r="A92" s="5">
        <f>$B$2+3</f>
        <v/>
      </c>
      <c r="B92" s="6" t="n"/>
      <c r="C92" s="6" t="n"/>
      <c r="D92" s="6" t="n"/>
    </row>
    <row r="93">
      <c r="A93" s="5">
        <f>$B$2+4</f>
        <v/>
      </c>
      <c r="B93" s="6" t="n"/>
      <c r="C93" s="6" t="n"/>
      <c r="D93" s="6" t="n"/>
    </row>
    <row r="94">
      <c r="A94" s="5">
        <f>$B$2+5</f>
        <v/>
      </c>
      <c r="B94" s="6" t="n"/>
      <c r="C94" s="6" t="n"/>
      <c r="D94" s="6" t="n"/>
    </row>
    <row r="95">
      <c r="A95" s="5">
        <f>$B$2+6</f>
        <v/>
      </c>
      <c r="B95" s="6" t="n"/>
      <c r="C95" s="6" t="n"/>
      <c r="D95" s="6" t="n"/>
    </row>
    <row r="96">
      <c r="A96" s="5">
        <f>$B$2+7</f>
        <v/>
      </c>
      <c r="B96" s="6" t="n"/>
      <c r="C96" s="6" t="n"/>
      <c r="D96" s="6" t="n"/>
    </row>
    <row r="97">
      <c r="A97" s="5">
        <f>$B$2+8</f>
        <v/>
      </c>
      <c r="B97" s="6" t="n"/>
      <c r="C97" s="6" t="n"/>
      <c r="D97" s="6" t="n"/>
    </row>
    <row r="98">
      <c r="A98" s="5">
        <f>$B$2+9</f>
        <v/>
      </c>
      <c r="B98" s="6" t="n"/>
      <c r="C98" s="6" t="n"/>
      <c r="D98" s="6" t="n"/>
    </row>
    <row r="99">
      <c r="A99" s="3" t="inlineStr">
        <is>
          <t>Godzina pomiaru</t>
        </is>
      </c>
      <c r="B99" s="11">
        <f>$B$4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4" max="4"/>
    <col width="22" customWidth="1" min="5" max="5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</cols>
  <sheetData>
    <row r="1">
      <c r="A1" s="1" t="inlineStr">
        <is>
          <t>Powietrze - mapowanie</t>
        </is>
      </c>
    </row>
    <row r="2"/>
    <row r="3">
      <c r="A3" s="7" t="inlineStr">
        <is>
          <t>Zanieczyszczenie</t>
        </is>
      </c>
      <c r="B3" s="7" t="inlineStr">
        <is>
          <t>Współczynnik toksyczności</t>
        </is>
      </c>
      <c r="D3" s="7" t="inlineStr">
        <is>
          <t>Zanieczyszczenie</t>
        </is>
      </c>
      <c r="E3" s="7" t="inlineStr">
        <is>
          <t>Współczynnik toksyczności</t>
        </is>
      </c>
      <c r="G3" s="7" t="inlineStr">
        <is>
          <t>Alias</t>
        </is>
      </c>
      <c r="H3" s="7" t="inlineStr">
        <is>
          <t>Nazwa wyświetlana</t>
        </is>
      </c>
      <c r="I3" s="7" t="inlineStr">
        <is>
          <t>Nazwa do limitu</t>
        </is>
      </c>
      <c r="J3" s="7" t="inlineStr">
        <is>
          <t>Nazwa do toksyczności</t>
        </is>
      </c>
      <c r="K3" s="7" t="inlineStr">
        <is>
          <t>Jednostka</t>
        </is>
      </c>
    </row>
    <row r="4">
      <c r="A4" s="6" t="inlineStr">
        <is>
          <t>benzen</t>
        </is>
      </c>
      <c r="B4" s="6" t="n">
        <v>5</v>
      </c>
      <c r="D4" s="6" t="inlineStr">
        <is>
          <t>tlenek siarki IV</t>
        </is>
      </c>
      <c r="E4" s="6" t="n">
        <v>1</v>
      </c>
      <c r="G4" s="6" t="inlineStr">
        <is>
          <t>O3</t>
        </is>
      </c>
      <c r="H4" s="6" t="inlineStr">
        <is>
          <t>ozon</t>
        </is>
      </c>
      <c r="I4" s="6" t="inlineStr">
        <is>
          <t>ozon</t>
        </is>
      </c>
      <c r="J4" s="6" t="inlineStr">
        <is>
          <t>ozon</t>
        </is>
      </c>
      <c r="K4" s="6" t="inlineStr">
        <is>
          <t>µg/m3</t>
        </is>
      </c>
    </row>
    <row r="5">
      <c r="A5" s="6" t="inlineStr">
        <is>
          <t>ditlenek azotu</t>
        </is>
      </c>
      <c r="B5" s="6" t="n">
        <v>200</v>
      </c>
      <c r="D5" s="6" t="inlineStr">
        <is>
          <t>tlenek węgla II</t>
        </is>
      </c>
      <c r="E5" s="6" t="n">
        <v>0.5</v>
      </c>
      <c r="G5" s="6" t="inlineStr">
        <is>
          <t>CO</t>
        </is>
      </c>
      <c r="H5" s="6" t="inlineStr">
        <is>
          <t>tlenek węgla</t>
        </is>
      </c>
      <c r="I5" s="6" t="inlineStr">
        <is>
          <t>tlenek węgla</t>
        </is>
      </c>
      <c r="J5" s="6" t="inlineStr">
        <is>
          <t>tlenek węgla II</t>
        </is>
      </c>
      <c r="K5" s="6" t="inlineStr">
        <is>
          <t>µg/m3</t>
        </is>
      </c>
    </row>
    <row r="6">
      <c r="A6" s="6" t="inlineStr">
        <is>
          <t>ditlenek siarki</t>
        </is>
      </c>
      <c r="B6" s="6" t="n">
        <v>125</v>
      </c>
      <c r="D6" s="6" t="inlineStr">
        <is>
          <t>tlenki azotu</t>
        </is>
      </c>
      <c r="E6" s="6" t="n">
        <v>2</v>
      </c>
      <c r="G6" s="6" t="inlineStr">
        <is>
          <t>NO2</t>
        </is>
      </c>
      <c r="H6" s="6" t="inlineStr">
        <is>
          <t>ditlenek azotu</t>
        </is>
      </c>
      <c r="I6" s="6" t="inlineStr">
        <is>
          <t>ditlenek azotu</t>
        </is>
      </c>
      <c r="J6" s="6" t="inlineStr">
        <is>
          <t>tlenki azotu</t>
        </is>
      </c>
      <c r="K6" s="6" t="inlineStr">
        <is>
          <t>µg/m3</t>
        </is>
      </c>
    </row>
    <row r="7">
      <c r="A7" s="6" t="inlineStr">
        <is>
          <t>ozon</t>
        </is>
      </c>
      <c r="B7" s="6" t="n">
        <v>120</v>
      </c>
      <c r="D7" s="6" t="inlineStr">
        <is>
          <t>ozon</t>
        </is>
      </c>
      <c r="E7" s="6" t="n">
        <v>10.3</v>
      </c>
      <c r="G7" s="6" t="inlineStr">
        <is>
          <t>SO2</t>
        </is>
      </c>
      <c r="H7" s="6" t="inlineStr">
        <is>
          <t>ditlenek siarki</t>
        </is>
      </c>
      <c r="I7" s="6" t="inlineStr">
        <is>
          <t>ditlenek siarki</t>
        </is>
      </c>
      <c r="J7" s="6" t="inlineStr">
        <is>
          <t>tlenek siarki IV</t>
        </is>
      </c>
      <c r="K7" s="6" t="inlineStr">
        <is>
          <t>µg/m3</t>
        </is>
      </c>
    </row>
    <row r="8">
      <c r="A8" s="6" t="inlineStr">
        <is>
          <t>pył zawieszony PM10</t>
        </is>
      </c>
      <c r="B8" s="6" t="n">
        <v>50</v>
      </c>
      <c r="D8" s="6" t="inlineStr">
        <is>
          <t>pył zawieszony</t>
        </is>
      </c>
      <c r="E8" s="6" t="n">
        <v>2.9</v>
      </c>
      <c r="G8" s="6" t="inlineStr">
        <is>
          <t>PM10</t>
        </is>
      </c>
      <c r="H8" s="6" t="inlineStr">
        <is>
          <t>pył zawieszony PM10</t>
        </is>
      </c>
      <c r="I8" s="6" t="inlineStr">
        <is>
          <t>pył zawieszony PM10</t>
        </is>
      </c>
      <c r="J8" s="6" t="inlineStr">
        <is>
          <t>pył zawieszony</t>
        </is>
      </c>
      <c r="K8" s="6" t="inlineStr">
        <is>
          <t>µg/m3</t>
        </is>
      </c>
    </row>
    <row r="9">
      <c r="A9" s="6" t="inlineStr">
        <is>
          <t>tlenek węgla</t>
        </is>
      </c>
      <c r="B9" s="6" t="n">
        <v>10000</v>
      </c>
      <c r="D9" s="6" t="inlineStr">
        <is>
          <t>chrom</t>
        </is>
      </c>
      <c r="E9" s="6" t="n">
        <v>160</v>
      </c>
      <c r="G9" s="6" t="inlineStr">
        <is>
          <t>BENZEN</t>
        </is>
      </c>
      <c r="H9" s="6" t="inlineStr">
        <is>
          <t>benzen</t>
        </is>
      </c>
      <c r="I9" s="6" t="inlineStr">
        <is>
          <t>benzen</t>
        </is>
      </c>
      <c r="J9" s="6" t="inlineStr"/>
      <c r="K9" s="6" t="inlineStr">
        <is>
          <t>µg/m3</t>
        </is>
      </c>
    </row>
    <row r="10">
      <c r="D10" s="6" t="inlineStr">
        <is>
          <t>cynk</t>
        </is>
      </c>
      <c r="E10" s="6" t="n">
        <v>16.9</v>
      </c>
      <c r="G10" s="6" t="inlineStr">
        <is>
          <t>NOx</t>
        </is>
      </c>
      <c r="H10" s="6" t="inlineStr">
        <is>
          <t>tlenki azotu</t>
        </is>
      </c>
      <c r="I10" s="6" t="inlineStr"/>
      <c r="J10" s="6" t="inlineStr">
        <is>
          <t>tlenki azotu</t>
        </is>
      </c>
      <c r="K10" s="6" t="inlineStr">
        <is>
          <t>µg/m3</t>
        </is>
      </c>
    </row>
    <row r="11">
      <c r="D11" s="6" t="inlineStr">
        <is>
          <t>kadm</t>
        </is>
      </c>
      <c r="E11" s="6" t="n">
        <v>640</v>
      </c>
      <c r="G11" s="6" t="inlineStr">
        <is>
          <t>CHROM</t>
        </is>
      </c>
      <c r="H11" s="6" t="inlineStr">
        <is>
          <t>chrom</t>
        </is>
      </c>
      <c r="I11" s="6" t="inlineStr"/>
      <c r="J11" s="6" t="inlineStr">
        <is>
          <t>chrom</t>
        </is>
      </c>
      <c r="K11" s="6" t="inlineStr">
        <is>
          <t>µg/m3</t>
        </is>
      </c>
    </row>
    <row r="12">
      <c r="D12" s="6" t="inlineStr">
        <is>
          <t>miedź</t>
        </is>
      </c>
      <c r="E12" s="6" t="n">
        <v>106.7</v>
      </c>
      <c r="G12" s="6" t="inlineStr">
        <is>
          <t>CYNK</t>
        </is>
      </c>
      <c r="H12" s="6" t="inlineStr">
        <is>
          <t>cynk</t>
        </is>
      </c>
      <c r="I12" s="6" t="inlineStr"/>
      <c r="J12" s="6" t="inlineStr">
        <is>
          <t>cynk</t>
        </is>
      </c>
      <c r="K12" s="6" t="inlineStr">
        <is>
          <t>µg/m3</t>
        </is>
      </c>
    </row>
    <row r="13">
      <c r="D13" s="6" t="inlineStr">
        <is>
          <t>ołów</t>
        </is>
      </c>
      <c r="E13" s="6" t="n">
        <v>320</v>
      </c>
      <c r="G13" s="6" t="inlineStr">
        <is>
          <t>KADM</t>
        </is>
      </c>
      <c r="H13" s="6" t="inlineStr">
        <is>
          <t>kadm</t>
        </is>
      </c>
      <c r="I13" s="6" t="inlineStr"/>
      <c r="J13" s="6" t="inlineStr">
        <is>
          <t>kadm</t>
        </is>
      </c>
      <c r="K13" s="6" t="inlineStr">
        <is>
          <t>µg/m3</t>
        </is>
      </c>
    </row>
    <row r="14">
      <c r="D14" s="6" t="inlineStr">
        <is>
          <t>żelazo</t>
        </is>
      </c>
      <c r="E14" s="6" t="n">
        <v>2</v>
      </c>
      <c r="G14" s="6" t="inlineStr">
        <is>
          <t>MIEDŹ</t>
        </is>
      </c>
      <c r="H14" s="6" t="inlineStr">
        <is>
          <t>miedź</t>
        </is>
      </c>
      <c r="I14" s="6" t="inlineStr"/>
      <c r="J14" s="6" t="inlineStr">
        <is>
          <t>miedź</t>
        </is>
      </c>
      <c r="K14" s="6" t="inlineStr">
        <is>
          <t>µg/m3</t>
        </is>
      </c>
    </row>
    <row r="15">
      <c r="G15" s="6" t="inlineStr">
        <is>
          <t>OŁÓW</t>
        </is>
      </c>
      <c r="H15" s="6" t="inlineStr">
        <is>
          <t>ołów</t>
        </is>
      </c>
      <c r="I15" s="6" t="inlineStr"/>
      <c r="J15" s="6" t="inlineStr">
        <is>
          <t>ołów</t>
        </is>
      </c>
      <c r="K15" s="6" t="inlineStr">
        <is>
          <t>µg/m3</t>
        </is>
      </c>
    </row>
    <row r="16">
      <c r="G16" s="6" t="inlineStr">
        <is>
          <t>ŻELAZO</t>
        </is>
      </c>
      <c r="H16" s="6" t="inlineStr">
        <is>
          <t>żelazo</t>
        </is>
      </c>
      <c r="I16" s="6" t="inlineStr"/>
      <c r="J16" s="6" t="inlineStr">
        <is>
          <t>żelazo</t>
        </is>
      </c>
      <c r="K16" s="6" t="inlineStr">
        <is>
          <t>µg/m3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6" customWidth="1" min="4" max="4"/>
    <col width="14" customWidth="1" min="5" max="5"/>
    <col width="24" customWidth="1" min="6" max="6"/>
    <col width="12" customWidth="1" min="7" max="7"/>
    <col width="24" customWidth="1" min="8" max="8"/>
    <col width="14" customWidth="1" min="9" max="9"/>
    <col width="11" customWidth="1" min="10" max="10"/>
    <col width="11" customWidth="1" min="11" max="11"/>
    <col width="11" customWidth="1" min="12" max="12"/>
    <col width="15" customWidth="1" min="13" max="13"/>
    <col width="15" customWidth="1" min="14" max="14"/>
    <col width="12" customWidth="1" min="15" max="15"/>
    <col width="12" customWidth="1" min="16" max="16"/>
    <col width="24" customWidth="1" min="17" max="17"/>
    <col width="24" customWidth="1" min="18" max="18"/>
    <col width="12" customWidth="1" min="19" max="19"/>
    <col width="12" customWidth="1" min="20" max="20"/>
    <col width="26" customWidth="1" min="21" max="21"/>
  </cols>
  <sheetData>
    <row r="1">
      <c r="A1" s="1" t="inlineStr">
        <is>
          <t>Powietrze - wyniki</t>
        </is>
      </c>
    </row>
    <row r="2">
      <c r="A2" s="7" t="inlineStr">
        <is>
          <t>Stacja</t>
        </is>
      </c>
      <c r="B2" s="7" t="inlineStr">
        <is>
          <t>Psi</t>
        </is>
      </c>
      <c r="C2" s="7" t="inlineStr">
        <is>
          <t>Interpretacja Psi</t>
        </is>
      </c>
      <c r="D2" s="7" t="inlineStr">
        <is>
          <t>Tau</t>
        </is>
      </c>
      <c r="E2" s="7" t="inlineStr">
        <is>
          <t>Interpretacja Tau</t>
        </is>
      </c>
      <c r="F2" s="7" t="inlineStr">
        <is>
          <t>Przekroczenia średniej</t>
        </is>
      </c>
      <c r="G2" s="7" t="inlineStr">
        <is>
          <t>Przekroczenia maksimum</t>
        </is>
      </c>
      <c r="H2" s="7" t="inlineStr">
        <is>
          <t>Pominięcia z Psi</t>
        </is>
      </c>
      <c r="I2" s="7" t="inlineStr">
        <is>
          <t>Pominięcia z Tau</t>
        </is>
      </c>
    </row>
    <row r="3">
      <c r="A3" s="10" t="inlineStr">
        <is>
          <t>miejska</t>
        </is>
      </c>
      <c r="B3" s="12">
        <f>SUMIF($B$10:$B$27,A3,$O$10:$O$27)</f>
        <v/>
      </c>
      <c r="C3" s="12">
        <f>IF(B3="","Brak danych",IF(B3&lt;=1,"jakość powietrza zadowalająca","wyższa wartość oznacza gorszą jakość powietrza"))</f>
        <v/>
      </c>
      <c r="D3" s="12">
        <f>SUMIF($B$10:$B$27,A3,$P$10:$P$27)</f>
        <v/>
      </c>
      <c r="E3" s="12">
        <f>IF(D3="","Brak danych","niższa wartość oznacza lepszą jakość powietrza")</f>
        <v/>
      </c>
      <c r="F3" s="12">
        <f>COUNTIFS($B$10:$B$27,A3,$M$10:$M$27,"TAK")</f>
        <v/>
      </c>
      <c r="G3" s="12">
        <f>COUNTIFS($B$10:$B$27,A3,$N$10:$N$27,"TAK")</f>
        <v/>
      </c>
      <c r="H3" s="12">
        <f>COUNTIFS($B$10:$B$27,A3,$Q$10:$Q$27,"&lt;&gt;")</f>
        <v/>
      </c>
      <c r="I3" s="12">
        <f>COUNTIFS($B$10:$B$27,A3,$R$10:$R$27,"&lt;&gt;")</f>
        <v/>
      </c>
    </row>
    <row r="4">
      <c r="A4" s="10" t="inlineStr">
        <is>
          <t>podmiejska</t>
        </is>
      </c>
      <c r="B4" s="12">
        <f>SUMIF($B$10:$B$27,A4,$O$10:$O$27)</f>
        <v/>
      </c>
      <c r="C4" s="12">
        <f>IF(B4="","Brak danych",IF(B4&lt;=1,"jakość powietrza zadowalająca","wyższa wartość oznacza gorszą jakość powietrza"))</f>
        <v/>
      </c>
      <c r="D4" s="12">
        <f>SUMIF($B$10:$B$27,A4,$P$10:$P$27)</f>
        <v/>
      </c>
      <c r="E4" s="12">
        <f>IF(D4="","Brak danych","niższa wartość oznacza lepszą jakość powietrza")</f>
        <v/>
      </c>
      <c r="F4" s="12">
        <f>COUNTIFS($B$10:$B$27,A4,$M$10:$M$27,"TAK")</f>
        <v/>
      </c>
      <c r="G4" s="12">
        <f>COUNTIFS($B$10:$B$27,A4,$N$10:$N$27,"TAK")</f>
        <v/>
      </c>
      <c r="H4" s="12">
        <f>COUNTIFS($B$10:$B$27,A4,$Q$10:$Q$27,"&lt;&gt;")</f>
        <v/>
      </c>
      <c r="I4" s="12">
        <f>COUNTIFS($B$10:$B$27,A4,$R$10:$R$27,"&lt;&gt;")</f>
        <v/>
      </c>
    </row>
    <row r="5">
      <c r="A5" s="10" t="inlineStr">
        <is>
          <t>pozamiejska</t>
        </is>
      </c>
      <c r="B5" s="12">
        <f>SUMIF($B$10:$B$27,A5,$O$10:$O$27)</f>
        <v/>
      </c>
      <c r="C5" s="12">
        <f>IF(B5="","Brak danych",IF(B5&lt;=1,"jakość powietrza zadowalająca","wyższa wartość oznacza gorszą jakość powietrza"))</f>
        <v/>
      </c>
      <c r="D5" s="12">
        <f>SUMIF($B$10:$B$27,A5,$P$10:$P$27)</f>
        <v/>
      </c>
      <c r="E5" s="12">
        <f>IF(D5="","Brak danych","niższa wartość oznacza lepszą jakość powietrza")</f>
        <v/>
      </c>
      <c r="F5" s="12">
        <f>COUNTIFS($B$10:$B$27,A5,$M$10:$M$27,"TAK")</f>
        <v/>
      </c>
      <c r="G5" s="12">
        <f>COUNTIFS($B$10:$B$27,A5,$N$10:$N$27,"TAK")</f>
        <v/>
      </c>
      <c r="H5" s="12">
        <f>COUNTIFS($B$10:$B$27,A5,$Q$10:$Q$27,"&lt;&gt;")</f>
        <v/>
      </c>
      <c r="I5" s="12">
        <f>COUNTIFS($B$10:$B$27,A5,$R$10:$R$27,"&lt;&gt;")</f>
        <v/>
      </c>
    </row>
    <row r="6"/>
    <row r="7"/>
    <row r="8"/>
    <row r="9">
      <c r="A9" s="7" t="inlineStr">
        <is>
          <t>Slot</t>
        </is>
      </c>
      <c r="B9" s="7" t="inlineStr">
        <is>
          <t>Stacja</t>
        </is>
      </c>
      <c r="C9" s="7" t="inlineStr">
        <is>
          <t>Alias</t>
        </is>
      </c>
      <c r="D9" s="7" t="inlineStr">
        <is>
          <t>Nazwa</t>
        </is>
      </c>
      <c r="E9" s="7" t="inlineStr">
        <is>
          <t>Jednostka</t>
        </is>
      </c>
      <c r="F9" s="7" t="inlineStr">
        <is>
          <t>Nazwa do limitu</t>
        </is>
      </c>
      <c r="G9" s="7" t="inlineStr">
        <is>
          <t>Limit D24</t>
        </is>
      </c>
      <c r="H9" s="7" t="inlineStr">
        <is>
          <t>Nazwa do toksyczności</t>
        </is>
      </c>
      <c r="I9" s="7" t="inlineStr">
        <is>
          <t>Wsp. toksyczności</t>
        </is>
      </c>
      <c r="J9" s="7" t="inlineStr">
        <is>
          <t>MIN</t>
        </is>
      </c>
      <c r="K9" s="7" t="inlineStr">
        <is>
          <t>ŚREDNIA</t>
        </is>
      </c>
      <c r="L9" s="7" t="inlineStr">
        <is>
          <t>MAX</t>
        </is>
      </c>
      <c r="M9" s="7" t="inlineStr">
        <is>
          <t>Średnia &gt; limit</t>
        </is>
      </c>
      <c r="N9" s="7" t="inlineStr">
        <is>
          <t>MAX &gt; limit</t>
        </is>
      </c>
      <c r="O9" s="7" t="inlineStr">
        <is>
          <t>Składnik Psi</t>
        </is>
      </c>
      <c r="P9" s="7" t="inlineStr">
        <is>
          <t>Składnik Tau</t>
        </is>
      </c>
      <c r="Q9" s="7" t="inlineStr">
        <is>
          <t>Ostrzeżenie limit</t>
        </is>
      </c>
      <c r="R9" s="7" t="inlineStr">
        <is>
          <t>Ostrzeżenie toksyczność</t>
        </is>
      </c>
      <c r="S9" s="7" t="inlineStr">
        <is>
          <t>Psi stacji</t>
        </is>
      </c>
      <c r="T9" s="7" t="inlineStr">
        <is>
          <t>Tau stacji</t>
        </is>
      </c>
      <c r="U9" s="7" t="inlineStr">
        <is>
          <t>Uwagi</t>
        </is>
      </c>
    </row>
    <row r="10">
      <c r="A10" s="10" t="n">
        <v>1</v>
      </c>
      <c r="B10" s="10" t="inlineStr">
        <is>
          <t>miejska</t>
        </is>
      </c>
      <c r="C10" s="12">
        <f>Powietrze_Dane!$B$12</f>
        <v/>
      </c>
      <c r="D10" s="12">
        <f>Powietrze_Dane!$C$12</f>
        <v/>
      </c>
      <c r="E10" s="12">
        <f>Powietrze_Dane!$D$12</f>
        <v/>
      </c>
      <c r="F10" s="12">
        <f>IF(C10&amp;D10="","",IFERROR(INDEX(Powietrze_Mapowanie!$I$4:$I$40,MATCH(C10,Powietrze_Mapowanie!$G$4:$G$40,0)),IFERROR(INDEX(Powietrze_Mapowanie!$I$4:$I$40,MATCH(D10,Powietrze_Mapowanie!$G$4:$G$40,0)),IF(D10&lt;&gt;"",D10,C10))))</f>
        <v/>
      </c>
      <c r="G10" s="12">
        <f>IF(F10="","",IFERROR(INDEX(Powietrze_Mapowanie!$B$4:$B$20,MATCH(F10,Powietrze_Mapowanie!$A$4:$A$20,0)),""))</f>
        <v/>
      </c>
      <c r="H10" s="12">
        <f>IF(C10&amp;D10="","",IFERROR(INDEX(Powietrze_Mapowanie!$J$4:$J$40,MATCH(C10,Powietrze_Mapowanie!$G$4:$G$40,0)),IFERROR(INDEX(Powietrze_Mapowanie!$J$4:$J$40,MATCH(D10,Powietrze_Mapowanie!$G$4:$G$40,0)),IF(D10&lt;&gt;"",D10,C10))))</f>
        <v/>
      </c>
      <c r="I10" s="12">
        <f>IF(H10="","",IFERROR(INDEX(Powietrze_Mapowanie!$E$4:$E$30,MATCH(H10,Powietrze_Mapowanie!$D$4:$D$30,0)),""))</f>
        <v/>
      </c>
      <c r="J10" s="12">
        <f>IF(COUNTA(B14:B23)=0,"",MIN(B14:B23))</f>
        <v/>
      </c>
      <c r="K10" s="12">
        <f>IF(COUNTA(B14:B23)=0,"",AVERAGE(B14:B23))</f>
        <v/>
      </c>
      <c r="L10" s="12">
        <f>IF(COUNTA(B14:B23)=0,"",MAX(B14:B23))</f>
        <v/>
      </c>
      <c r="M10" s="12">
        <f>IF(G10="","Brak limitu",IF(K10="","Brak danych",IF(K10&gt;G10,"TAK","NIE")))</f>
        <v/>
      </c>
      <c r="N10" s="12">
        <f>IF(G10="","Brak limitu",IF(L10="","Brak danych",IF(L10&gt;G10,"TAK","NIE")))</f>
        <v/>
      </c>
      <c r="O10" s="12">
        <f>IF(AND(ISNUMBER(K10),ISNUMBER(G10)),K10/G10,"")</f>
        <v/>
      </c>
      <c r="P10" s="12">
        <f>IF(AND(ISNUMBER(K10),ISNUMBER(I10)),K10*I10,"")</f>
        <v/>
      </c>
      <c r="Q10" s="12">
        <f>IF(AND(K10&lt;&gt;"",G10=""),"Brak wartości dopuszczalnej w instrukcji — zanieczyszczenie pominięto w indeksie jakości.","")</f>
        <v/>
      </c>
      <c r="R10" s="12">
        <f>IF(AND(K10&lt;&gt;"",I10=""),"Brak współczynnika toksyczności w instrukcji — zanieczyszczenie pominięto w indeksie toksyczności.","")</f>
        <v/>
      </c>
      <c r="S10" s="12">
        <f>SUMIF($B$10:$B$27,B10,$O$10:$O$27)</f>
        <v/>
      </c>
      <c r="T10" s="12">
        <f>SUMIF($B$10:$B$27,B10,$P$10:$P$27)</f>
        <v/>
      </c>
      <c r="U10" s="12" t="inlineStr">
        <is>
          <t>Wskaźnik liczony dla całej stacji</t>
        </is>
      </c>
    </row>
    <row r="11">
      <c r="A11" s="10" t="n">
        <v>1</v>
      </c>
      <c r="B11" s="10" t="inlineStr">
        <is>
          <t>podmiejska</t>
        </is>
      </c>
      <c r="C11" s="12">
        <f>Powietrze_Dane!$B$12</f>
        <v/>
      </c>
      <c r="D11" s="12">
        <f>Powietrze_Dane!$C$12</f>
        <v/>
      </c>
      <c r="E11" s="12">
        <f>Powietrze_Dane!$D$12</f>
        <v/>
      </c>
      <c r="F11" s="12">
        <f>IF(C11&amp;D11="","",IFERROR(INDEX(Powietrze_Mapowanie!$I$4:$I$40,MATCH(C11,Powietrze_Mapowanie!$G$4:$G$40,0)),IFERROR(INDEX(Powietrze_Mapowanie!$I$4:$I$40,MATCH(D11,Powietrze_Mapowanie!$G$4:$G$40,0)),IF(D11&lt;&gt;"",D11,C11))))</f>
        <v/>
      </c>
      <c r="G11" s="12">
        <f>IF(F11="","",IFERROR(INDEX(Powietrze_Mapowanie!$B$4:$B$20,MATCH(F11,Powietrze_Mapowanie!$A$4:$A$20,0)),""))</f>
        <v/>
      </c>
      <c r="H11" s="12">
        <f>IF(C11&amp;D11="","",IFERROR(INDEX(Powietrze_Mapowanie!$J$4:$J$40,MATCH(C11,Powietrze_Mapowanie!$G$4:$G$40,0)),IFERROR(INDEX(Powietrze_Mapowanie!$J$4:$J$40,MATCH(D11,Powietrze_Mapowanie!$G$4:$G$40,0)),IF(D11&lt;&gt;"",D11,C11))))</f>
        <v/>
      </c>
      <c r="I11" s="12">
        <f>IF(H11="","",IFERROR(INDEX(Powietrze_Mapowanie!$E$4:$E$30,MATCH(H11,Powietrze_Mapowanie!$D$4:$D$30,0)),""))</f>
        <v/>
      </c>
      <c r="J11" s="12">
        <f>IF(COUNTA(C14:C23)=0,"",MIN(C14:C23))</f>
        <v/>
      </c>
      <c r="K11" s="12">
        <f>IF(COUNTA(C14:C23)=0,"",AVERAGE(C14:C23))</f>
        <v/>
      </c>
      <c r="L11" s="12">
        <f>IF(COUNTA(C14:C23)=0,"",MAX(C14:C23))</f>
        <v/>
      </c>
      <c r="M11" s="12">
        <f>IF(G11="","Brak limitu",IF(K11="","Brak danych",IF(K11&gt;G11,"TAK","NIE")))</f>
        <v/>
      </c>
      <c r="N11" s="12">
        <f>IF(G11="","Brak limitu",IF(L11="","Brak danych",IF(L11&gt;G11,"TAK","NIE")))</f>
        <v/>
      </c>
      <c r="O11" s="12">
        <f>IF(AND(ISNUMBER(K11),ISNUMBER(G11)),K11/G11,"")</f>
        <v/>
      </c>
      <c r="P11" s="12">
        <f>IF(AND(ISNUMBER(K11),ISNUMBER(I11)),K11*I11,"")</f>
        <v/>
      </c>
      <c r="Q11" s="12">
        <f>IF(AND(K11&lt;&gt;"",G11=""),"Brak wartości dopuszczalnej w instrukcji — zanieczyszczenie pominięto w indeksie jakości.","")</f>
        <v/>
      </c>
      <c r="R11" s="12">
        <f>IF(AND(K11&lt;&gt;"",I11=""),"Brak współczynnika toksyczności w instrukcji — zanieczyszczenie pominięto w indeksie toksyczności.","")</f>
        <v/>
      </c>
      <c r="S11" s="12">
        <f>SUMIF($B$10:$B$27,B11,$O$10:$O$27)</f>
        <v/>
      </c>
      <c r="T11" s="12">
        <f>SUMIF($B$10:$B$27,B11,$P$10:$P$27)</f>
        <v/>
      </c>
      <c r="U11" s="12" t="inlineStr">
        <is>
          <t>Wskaźnik liczony dla całej stacji</t>
        </is>
      </c>
    </row>
    <row r="12">
      <c r="A12" s="10" t="n">
        <v>1</v>
      </c>
      <c r="B12" s="10" t="inlineStr">
        <is>
          <t>pozamiejska</t>
        </is>
      </c>
      <c r="C12" s="12">
        <f>Powietrze_Dane!$B$12</f>
        <v/>
      </c>
      <c r="D12" s="12">
        <f>Powietrze_Dane!$C$12</f>
        <v/>
      </c>
      <c r="E12" s="12">
        <f>Powietrze_Dane!$D$12</f>
        <v/>
      </c>
      <c r="F12" s="12">
        <f>IF(C12&amp;D12="","",IFERROR(INDEX(Powietrze_Mapowanie!$I$4:$I$40,MATCH(C12,Powietrze_Mapowanie!$G$4:$G$40,0)),IFERROR(INDEX(Powietrze_Mapowanie!$I$4:$I$40,MATCH(D12,Powietrze_Mapowanie!$G$4:$G$40,0)),IF(D12&lt;&gt;"",D12,C12))))</f>
        <v/>
      </c>
      <c r="G12" s="12">
        <f>IF(F12="","",IFERROR(INDEX(Powietrze_Mapowanie!$B$4:$B$20,MATCH(F12,Powietrze_Mapowanie!$A$4:$A$20,0)),""))</f>
        <v/>
      </c>
      <c r="H12" s="12">
        <f>IF(C12&amp;D12="","",IFERROR(INDEX(Powietrze_Mapowanie!$J$4:$J$40,MATCH(C12,Powietrze_Mapowanie!$G$4:$G$40,0)),IFERROR(INDEX(Powietrze_Mapowanie!$J$4:$J$40,MATCH(D12,Powietrze_Mapowanie!$G$4:$G$40,0)),IF(D12&lt;&gt;"",D12,C12))))</f>
        <v/>
      </c>
      <c r="I12" s="12">
        <f>IF(H12="","",IFERROR(INDEX(Powietrze_Mapowanie!$E$4:$E$30,MATCH(H12,Powietrze_Mapowanie!$D$4:$D$30,0)),""))</f>
        <v/>
      </c>
      <c r="J12" s="12">
        <f>IF(COUNTA(D14:D23)=0,"",MIN(D14:D23))</f>
        <v/>
      </c>
      <c r="K12" s="12">
        <f>IF(COUNTA(D14:D23)=0,"",AVERAGE(D14:D23))</f>
        <v/>
      </c>
      <c r="L12" s="12">
        <f>IF(COUNTA(D14:D23)=0,"",MAX(D14:D23))</f>
        <v/>
      </c>
      <c r="M12" s="12">
        <f>IF(G12="","Brak limitu",IF(K12="","Brak danych",IF(K12&gt;G12,"TAK","NIE")))</f>
        <v/>
      </c>
      <c r="N12" s="12">
        <f>IF(G12="","Brak limitu",IF(L12="","Brak danych",IF(L12&gt;G12,"TAK","NIE")))</f>
        <v/>
      </c>
      <c r="O12" s="12">
        <f>IF(AND(ISNUMBER(K12),ISNUMBER(G12)),K12/G12,"")</f>
        <v/>
      </c>
      <c r="P12" s="12">
        <f>IF(AND(ISNUMBER(K12),ISNUMBER(I12)),K12*I12,"")</f>
        <v/>
      </c>
      <c r="Q12" s="12">
        <f>IF(AND(K12&lt;&gt;"",G12=""),"Brak wartości dopuszczalnej w instrukcji — zanieczyszczenie pominięto w indeksie jakości.","")</f>
        <v/>
      </c>
      <c r="R12" s="12">
        <f>IF(AND(K12&lt;&gt;"",I12=""),"Brak współczynnika toksyczności w instrukcji — zanieczyszczenie pominięto w indeksie toksyczności.","")</f>
        <v/>
      </c>
      <c r="S12" s="12">
        <f>SUMIF($B$10:$B$27,B12,$O$10:$O$27)</f>
        <v/>
      </c>
      <c r="T12" s="12">
        <f>SUMIF($B$10:$B$27,B12,$P$10:$P$27)</f>
        <v/>
      </c>
      <c r="U12" s="12" t="inlineStr">
        <is>
          <t>Wskaźnik liczony dla całej stacji</t>
        </is>
      </c>
    </row>
    <row r="13">
      <c r="A13" s="10" t="n">
        <v>2</v>
      </c>
      <c r="B13" s="10" t="inlineStr">
        <is>
          <t>miejska</t>
        </is>
      </c>
      <c r="C13" s="12">
        <f>Powietrze_Dane!$B$27</f>
        <v/>
      </c>
      <c r="D13" s="12">
        <f>Powietrze_Dane!$C$27</f>
        <v/>
      </c>
      <c r="E13" s="12">
        <f>Powietrze_Dane!$D$27</f>
        <v/>
      </c>
      <c r="F13" s="12">
        <f>IF(C13&amp;D13="","",IFERROR(INDEX(Powietrze_Mapowanie!$I$4:$I$40,MATCH(C13,Powietrze_Mapowanie!$G$4:$G$40,0)),IFERROR(INDEX(Powietrze_Mapowanie!$I$4:$I$40,MATCH(D13,Powietrze_Mapowanie!$G$4:$G$40,0)),IF(D13&lt;&gt;"",D13,C13))))</f>
        <v/>
      </c>
      <c r="G13" s="12">
        <f>IF(F13="","",IFERROR(INDEX(Powietrze_Mapowanie!$B$4:$B$20,MATCH(F13,Powietrze_Mapowanie!$A$4:$A$20,0)),""))</f>
        <v/>
      </c>
      <c r="H13" s="12">
        <f>IF(C13&amp;D13="","",IFERROR(INDEX(Powietrze_Mapowanie!$J$4:$J$40,MATCH(C13,Powietrze_Mapowanie!$G$4:$G$40,0)),IFERROR(INDEX(Powietrze_Mapowanie!$J$4:$J$40,MATCH(D13,Powietrze_Mapowanie!$G$4:$G$40,0)),IF(D13&lt;&gt;"",D13,C13))))</f>
        <v/>
      </c>
      <c r="I13" s="12">
        <f>IF(H13="","",IFERROR(INDEX(Powietrze_Mapowanie!$E$4:$E$30,MATCH(H13,Powietrze_Mapowanie!$D$4:$D$30,0)),""))</f>
        <v/>
      </c>
      <c r="J13" s="12">
        <f>IF(COUNTA(B29:B38)=0,"",MIN(B29:B38))</f>
        <v/>
      </c>
      <c r="K13" s="12">
        <f>IF(COUNTA(B29:B38)=0,"",AVERAGE(B29:B38))</f>
        <v/>
      </c>
      <c r="L13" s="12">
        <f>IF(COUNTA(B29:B38)=0,"",MAX(B29:B38))</f>
        <v/>
      </c>
      <c r="M13" s="12">
        <f>IF(G13="","Brak limitu",IF(K13="","Brak danych",IF(K13&gt;G13,"TAK","NIE")))</f>
        <v/>
      </c>
      <c r="N13" s="12">
        <f>IF(G13="","Brak limitu",IF(L13="","Brak danych",IF(L13&gt;G13,"TAK","NIE")))</f>
        <v/>
      </c>
      <c r="O13" s="12">
        <f>IF(AND(ISNUMBER(K13),ISNUMBER(G13)),K13/G13,"")</f>
        <v/>
      </c>
      <c r="P13" s="12">
        <f>IF(AND(ISNUMBER(K13),ISNUMBER(I13)),K13*I13,"")</f>
        <v/>
      </c>
      <c r="Q13" s="12">
        <f>IF(AND(K13&lt;&gt;"",G13=""),"Brak wartości dopuszczalnej w instrukcji — zanieczyszczenie pominięto w indeksie jakości.","")</f>
        <v/>
      </c>
      <c r="R13" s="12">
        <f>IF(AND(K13&lt;&gt;"",I13=""),"Brak współczynnika toksyczności w instrukcji — zanieczyszczenie pominięto w indeksie toksyczności.","")</f>
        <v/>
      </c>
      <c r="S13" s="12">
        <f>SUMIF($B$10:$B$27,B13,$O$10:$O$27)</f>
        <v/>
      </c>
      <c r="T13" s="12">
        <f>SUMIF($B$10:$B$27,B13,$P$10:$P$27)</f>
        <v/>
      </c>
      <c r="U13" s="12" t="inlineStr">
        <is>
          <t>Wskaźnik liczony dla całej stacji</t>
        </is>
      </c>
    </row>
    <row r="14">
      <c r="A14" s="10" t="n">
        <v>2</v>
      </c>
      <c r="B14" s="10" t="inlineStr">
        <is>
          <t>podmiejska</t>
        </is>
      </c>
      <c r="C14" s="12">
        <f>Powietrze_Dane!$B$27</f>
        <v/>
      </c>
      <c r="D14" s="12">
        <f>Powietrze_Dane!$C$27</f>
        <v/>
      </c>
      <c r="E14" s="12">
        <f>Powietrze_Dane!$D$27</f>
        <v/>
      </c>
      <c r="F14" s="12">
        <f>IF(C14&amp;D14="","",IFERROR(INDEX(Powietrze_Mapowanie!$I$4:$I$40,MATCH(C14,Powietrze_Mapowanie!$G$4:$G$40,0)),IFERROR(INDEX(Powietrze_Mapowanie!$I$4:$I$40,MATCH(D14,Powietrze_Mapowanie!$G$4:$G$40,0)),IF(D14&lt;&gt;"",D14,C14))))</f>
        <v/>
      </c>
      <c r="G14" s="12">
        <f>IF(F14="","",IFERROR(INDEX(Powietrze_Mapowanie!$B$4:$B$20,MATCH(F14,Powietrze_Mapowanie!$A$4:$A$20,0)),""))</f>
        <v/>
      </c>
      <c r="H14" s="12">
        <f>IF(C14&amp;D14="","",IFERROR(INDEX(Powietrze_Mapowanie!$J$4:$J$40,MATCH(C14,Powietrze_Mapowanie!$G$4:$G$40,0)),IFERROR(INDEX(Powietrze_Mapowanie!$J$4:$J$40,MATCH(D14,Powietrze_Mapowanie!$G$4:$G$40,0)),IF(D14&lt;&gt;"",D14,C14))))</f>
        <v/>
      </c>
      <c r="I14" s="12">
        <f>IF(H14="","",IFERROR(INDEX(Powietrze_Mapowanie!$E$4:$E$30,MATCH(H14,Powietrze_Mapowanie!$D$4:$D$30,0)),""))</f>
        <v/>
      </c>
      <c r="J14" s="12">
        <f>IF(COUNTA(C29:C38)=0,"",MIN(C29:C38))</f>
        <v/>
      </c>
      <c r="K14" s="12">
        <f>IF(COUNTA(C29:C38)=0,"",AVERAGE(C29:C38))</f>
        <v/>
      </c>
      <c r="L14" s="12">
        <f>IF(COUNTA(C29:C38)=0,"",MAX(C29:C38))</f>
        <v/>
      </c>
      <c r="M14" s="12">
        <f>IF(G14="","Brak limitu",IF(K14="","Brak danych",IF(K14&gt;G14,"TAK","NIE")))</f>
        <v/>
      </c>
      <c r="N14" s="12">
        <f>IF(G14="","Brak limitu",IF(L14="","Brak danych",IF(L14&gt;G14,"TAK","NIE")))</f>
        <v/>
      </c>
      <c r="O14" s="12">
        <f>IF(AND(ISNUMBER(K14),ISNUMBER(G14)),K14/G14,"")</f>
        <v/>
      </c>
      <c r="P14" s="12">
        <f>IF(AND(ISNUMBER(K14),ISNUMBER(I14)),K14*I14,"")</f>
        <v/>
      </c>
      <c r="Q14" s="12">
        <f>IF(AND(K14&lt;&gt;"",G14=""),"Brak wartości dopuszczalnej w instrukcji — zanieczyszczenie pominięto w indeksie jakości.","")</f>
        <v/>
      </c>
      <c r="R14" s="12">
        <f>IF(AND(K14&lt;&gt;"",I14=""),"Brak współczynnika toksyczności w instrukcji — zanieczyszczenie pominięto w indeksie toksyczności.","")</f>
        <v/>
      </c>
      <c r="S14" s="12">
        <f>SUMIF($B$10:$B$27,B14,$O$10:$O$27)</f>
        <v/>
      </c>
      <c r="T14" s="12">
        <f>SUMIF($B$10:$B$27,B14,$P$10:$P$27)</f>
        <v/>
      </c>
      <c r="U14" s="12" t="inlineStr">
        <is>
          <t>Wskaźnik liczony dla całej stacji</t>
        </is>
      </c>
    </row>
    <row r="15">
      <c r="A15" s="10" t="n">
        <v>2</v>
      </c>
      <c r="B15" s="10" t="inlineStr">
        <is>
          <t>pozamiejska</t>
        </is>
      </c>
      <c r="C15" s="12">
        <f>Powietrze_Dane!$B$27</f>
        <v/>
      </c>
      <c r="D15" s="12">
        <f>Powietrze_Dane!$C$27</f>
        <v/>
      </c>
      <c r="E15" s="12">
        <f>Powietrze_Dane!$D$27</f>
        <v/>
      </c>
      <c r="F15" s="12">
        <f>IF(C15&amp;D15="","",IFERROR(INDEX(Powietrze_Mapowanie!$I$4:$I$40,MATCH(C15,Powietrze_Mapowanie!$G$4:$G$40,0)),IFERROR(INDEX(Powietrze_Mapowanie!$I$4:$I$40,MATCH(D15,Powietrze_Mapowanie!$G$4:$G$40,0)),IF(D15&lt;&gt;"",D15,C15))))</f>
        <v/>
      </c>
      <c r="G15" s="12">
        <f>IF(F15="","",IFERROR(INDEX(Powietrze_Mapowanie!$B$4:$B$20,MATCH(F15,Powietrze_Mapowanie!$A$4:$A$20,0)),""))</f>
        <v/>
      </c>
      <c r="H15" s="12">
        <f>IF(C15&amp;D15="","",IFERROR(INDEX(Powietrze_Mapowanie!$J$4:$J$40,MATCH(C15,Powietrze_Mapowanie!$G$4:$G$40,0)),IFERROR(INDEX(Powietrze_Mapowanie!$J$4:$J$40,MATCH(D15,Powietrze_Mapowanie!$G$4:$G$40,0)),IF(D15&lt;&gt;"",D15,C15))))</f>
        <v/>
      </c>
      <c r="I15" s="12">
        <f>IF(H15="","",IFERROR(INDEX(Powietrze_Mapowanie!$E$4:$E$30,MATCH(H15,Powietrze_Mapowanie!$D$4:$D$30,0)),""))</f>
        <v/>
      </c>
      <c r="J15" s="12">
        <f>IF(COUNTA(D29:D38)=0,"",MIN(D29:D38))</f>
        <v/>
      </c>
      <c r="K15" s="12">
        <f>IF(COUNTA(D29:D38)=0,"",AVERAGE(D29:D38))</f>
        <v/>
      </c>
      <c r="L15" s="12">
        <f>IF(COUNTA(D29:D38)=0,"",MAX(D29:D38))</f>
        <v/>
      </c>
      <c r="M15" s="12">
        <f>IF(G15="","Brak limitu",IF(K15="","Brak danych",IF(K15&gt;G15,"TAK","NIE")))</f>
        <v/>
      </c>
      <c r="N15" s="12">
        <f>IF(G15="","Brak limitu",IF(L15="","Brak danych",IF(L15&gt;G15,"TAK","NIE")))</f>
        <v/>
      </c>
      <c r="O15" s="12">
        <f>IF(AND(ISNUMBER(K15),ISNUMBER(G15)),K15/G15,"")</f>
        <v/>
      </c>
      <c r="P15" s="12">
        <f>IF(AND(ISNUMBER(K15),ISNUMBER(I15)),K15*I15,"")</f>
        <v/>
      </c>
      <c r="Q15" s="12">
        <f>IF(AND(K15&lt;&gt;"",G15=""),"Brak wartości dopuszczalnej w instrukcji — zanieczyszczenie pominięto w indeksie jakości.","")</f>
        <v/>
      </c>
      <c r="R15" s="12">
        <f>IF(AND(K15&lt;&gt;"",I15=""),"Brak współczynnika toksyczności w instrukcji — zanieczyszczenie pominięto w indeksie toksyczności.","")</f>
        <v/>
      </c>
      <c r="S15" s="12">
        <f>SUMIF($B$10:$B$27,B15,$O$10:$O$27)</f>
        <v/>
      </c>
      <c r="T15" s="12">
        <f>SUMIF($B$10:$B$27,B15,$P$10:$P$27)</f>
        <v/>
      </c>
      <c r="U15" s="12" t="inlineStr">
        <is>
          <t>Wskaźnik liczony dla całej stacji</t>
        </is>
      </c>
    </row>
    <row r="16">
      <c r="A16" s="10" t="n">
        <v>3</v>
      </c>
      <c r="B16" s="10" t="inlineStr">
        <is>
          <t>miejska</t>
        </is>
      </c>
      <c r="C16" s="12">
        <f>Powietrze_Dane!$B$42</f>
        <v/>
      </c>
      <c r="D16" s="12">
        <f>Powietrze_Dane!$C$42</f>
        <v/>
      </c>
      <c r="E16" s="12">
        <f>Powietrze_Dane!$D$42</f>
        <v/>
      </c>
      <c r="F16" s="12">
        <f>IF(C16&amp;D16="","",IFERROR(INDEX(Powietrze_Mapowanie!$I$4:$I$40,MATCH(C16,Powietrze_Mapowanie!$G$4:$G$40,0)),IFERROR(INDEX(Powietrze_Mapowanie!$I$4:$I$40,MATCH(D16,Powietrze_Mapowanie!$G$4:$G$40,0)),IF(D16&lt;&gt;"",D16,C16))))</f>
        <v/>
      </c>
      <c r="G16" s="12">
        <f>IF(F16="","",IFERROR(INDEX(Powietrze_Mapowanie!$B$4:$B$20,MATCH(F16,Powietrze_Mapowanie!$A$4:$A$20,0)),""))</f>
        <v/>
      </c>
      <c r="H16" s="12">
        <f>IF(C16&amp;D16="","",IFERROR(INDEX(Powietrze_Mapowanie!$J$4:$J$40,MATCH(C16,Powietrze_Mapowanie!$G$4:$G$40,0)),IFERROR(INDEX(Powietrze_Mapowanie!$J$4:$J$40,MATCH(D16,Powietrze_Mapowanie!$G$4:$G$40,0)),IF(D16&lt;&gt;"",D16,C16))))</f>
        <v/>
      </c>
      <c r="I16" s="12">
        <f>IF(H16="","",IFERROR(INDEX(Powietrze_Mapowanie!$E$4:$E$30,MATCH(H16,Powietrze_Mapowanie!$D$4:$D$30,0)),""))</f>
        <v/>
      </c>
      <c r="J16" s="12">
        <f>IF(COUNTA(B44:B53)=0,"",MIN(B44:B53))</f>
        <v/>
      </c>
      <c r="K16" s="12">
        <f>IF(COUNTA(B44:B53)=0,"",AVERAGE(B44:B53))</f>
        <v/>
      </c>
      <c r="L16" s="12">
        <f>IF(COUNTA(B44:B53)=0,"",MAX(B44:B53))</f>
        <v/>
      </c>
      <c r="M16" s="12">
        <f>IF(G16="","Brak limitu",IF(K16="","Brak danych",IF(K16&gt;G16,"TAK","NIE")))</f>
        <v/>
      </c>
      <c r="N16" s="12">
        <f>IF(G16="","Brak limitu",IF(L16="","Brak danych",IF(L16&gt;G16,"TAK","NIE")))</f>
        <v/>
      </c>
      <c r="O16" s="12">
        <f>IF(AND(ISNUMBER(K16),ISNUMBER(G16)),K16/G16,"")</f>
        <v/>
      </c>
      <c r="P16" s="12">
        <f>IF(AND(ISNUMBER(K16),ISNUMBER(I16)),K16*I16,"")</f>
        <v/>
      </c>
      <c r="Q16" s="12">
        <f>IF(AND(K16&lt;&gt;"",G16=""),"Brak wartości dopuszczalnej w instrukcji — zanieczyszczenie pominięto w indeksie jakości.","")</f>
        <v/>
      </c>
      <c r="R16" s="12">
        <f>IF(AND(K16&lt;&gt;"",I16=""),"Brak współczynnika toksyczności w instrukcji — zanieczyszczenie pominięto w indeksie toksyczności.","")</f>
        <v/>
      </c>
      <c r="S16" s="12">
        <f>SUMIF($B$10:$B$27,B16,$O$10:$O$27)</f>
        <v/>
      </c>
      <c r="T16" s="12">
        <f>SUMIF($B$10:$B$27,B16,$P$10:$P$27)</f>
        <v/>
      </c>
      <c r="U16" s="12" t="inlineStr">
        <is>
          <t>Wskaźnik liczony dla całej stacji</t>
        </is>
      </c>
    </row>
    <row r="17">
      <c r="A17" s="10" t="n">
        <v>3</v>
      </c>
      <c r="B17" s="10" t="inlineStr">
        <is>
          <t>podmiejska</t>
        </is>
      </c>
      <c r="C17" s="12">
        <f>Powietrze_Dane!$B$42</f>
        <v/>
      </c>
      <c r="D17" s="12">
        <f>Powietrze_Dane!$C$42</f>
        <v/>
      </c>
      <c r="E17" s="12">
        <f>Powietrze_Dane!$D$42</f>
        <v/>
      </c>
      <c r="F17" s="12">
        <f>IF(C17&amp;D17="","",IFERROR(INDEX(Powietrze_Mapowanie!$I$4:$I$40,MATCH(C17,Powietrze_Mapowanie!$G$4:$G$40,0)),IFERROR(INDEX(Powietrze_Mapowanie!$I$4:$I$40,MATCH(D17,Powietrze_Mapowanie!$G$4:$G$40,0)),IF(D17&lt;&gt;"",D17,C17))))</f>
        <v/>
      </c>
      <c r="G17" s="12">
        <f>IF(F17="","",IFERROR(INDEX(Powietrze_Mapowanie!$B$4:$B$20,MATCH(F17,Powietrze_Mapowanie!$A$4:$A$20,0)),""))</f>
        <v/>
      </c>
      <c r="H17" s="12">
        <f>IF(C17&amp;D17="","",IFERROR(INDEX(Powietrze_Mapowanie!$J$4:$J$40,MATCH(C17,Powietrze_Mapowanie!$G$4:$G$40,0)),IFERROR(INDEX(Powietrze_Mapowanie!$J$4:$J$40,MATCH(D17,Powietrze_Mapowanie!$G$4:$G$40,0)),IF(D17&lt;&gt;"",D17,C17))))</f>
        <v/>
      </c>
      <c r="I17" s="12">
        <f>IF(H17="","",IFERROR(INDEX(Powietrze_Mapowanie!$E$4:$E$30,MATCH(H17,Powietrze_Mapowanie!$D$4:$D$30,0)),""))</f>
        <v/>
      </c>
      <c r="J17" s="12">
        <f>IF(COUNTA(C44:C53)=0,"",MIN(C44:C53))</f>
        <v/>
      </c>
      <c r="K17" s="12">
        <f>IF(COUNTA(C44:C53)=0,"",AVERAGE(C44:C53))</f>
        <v/>
      </c>
      <c r="L17" s="12">
        <f>IF(COUNTA(C44:C53)=0,"",MAX(C44:C53))</f>
        <v/>
      </c>
      <c r="M17" s="12">
        <f>IF(G17="","Brak limitu",IF(K17="","Brak danych",IF(K17&gt;G17,"TAK","NIE")))</f>
        <v/>
      </c>
      <c r="N17" s="12">
        <f>IF(G17="","Brak limitu",IF(L17="","Brak danych",IF(L17&gt;G17,"TAK","NIE")))</f>
        <v/>
      </c>
      <c r="O17" s="12">
        <f>IF(AND(ISNUMBER(K17),ISNUMBER(G17)),K17/G17,"")</f>
        <v/>
      </c>
      <c r="P17" s="12">
        <f>IF(AND(ISNUMBER(K17),ISNUMBER(I17)),K17*I17,"")</f>
        <v/>
      </c>
      <c r="Q17" s="12">
        <f>IF(AND(K17&lt;&gt;"",G17=""),"Brak wartości dopuszczalnej w instrukcji — zanieczyszczenie pominięto w indeksie jakości.","")</f>
        <v/>
      </c>
      <c r="R17" s="12">
        <f>IF(AND(K17&lt;&gt;"",I17=""),"Brak współczynnika toksyczności w instrukcji — zanieczyszczenie pominięto w indeksie toksyczności.","")</f>
        <v/>
      </c>
      <c r="S17" s="12">
        <f>SUMIF($B$10:$B$27,B17,$O$10:$O$27)</f>
        <v/>
      </c>
      <c r="T17" s="12">
        <f>SUMIF($B$10:$B$27,B17,$P$10:$P$27)</f>
        <v/>
      </c>
      <c r="U17" s="12" t="inlineStr">
        <is>
          <t>Wskaźnik liczony dla całej stacji</t>
        </is>
      </c>
    </row>
    <row r="18">
      <c r="A18" s="10" t="n">
        <v>3</v>
      </c>
      <c r="B18" s="10" t="inlineStr">
        <is>
          <t>pozamiejska</t>
        </is>
      </c>
      <c r="C18" s="12">
        <f>Powietrze_Dane!$B$42</f>
        <v/>
      </c>
      <c r="D18" s="12">
        <f>Powietrze_Dane!$C$42</f>
        <v/>
      </c>
      <c r="E18" s="12">
        <f>Powietrze_Dane!$D$42</f>
        <v/>
      </c>
      <c r="F18" s="12">
        <f>IF(C18&amp;D18="","",IFERROR(INDEX(Powietrze_Mapowanie!$I$4:$I$40,MATCH(C18,Powietrze_Mapowanie!$G$4:$G$40,0)),IFERROR(INDEX(Powietrze_Mapowanie!$I$4:$I$40,MATCH(D18,Powietrze_Mapowanie!$G$4:$G$40,0)),IF(D18&lt;&gt;"",D18,C18))))</f>
        <v/>
      </c>
      <c r="G18" s="12">
        <f>IF(F18="","",IFERROR(INDEX(Powietrze_Mapowanie!$B$4:$B$20,MATCH(F18,Powietrze_Mapowanie!$A$4:$A$20,0)),""))</f>
        <v/>
      </c>
      <c r="H18" s="12">
        <f>IF(C18&amp;D18="","",IFERROR(INDEX(Powietrze_Mapowanie!$J$4:$J$40,MATCH(C18,Powietrze_Mapowanie!$G$4:$G$40,0)),IFERROR(INDEX(Powietrze_Mapowanie!$J$4:$J$40,MATCH(D18,Powietrze_Mapowanie!$G$4:$G$40,0)),IF(D18&lt;&gt;"",D18,C18))))</f>
        <v/>
      </c>
      <c r="I18" s="12">
        <f>IF(H18="","",IFERROR(INDEX(Powietrze_Mapowanie!$E$4:$E$30,MATCH(H18,Powietrze_Mapowanie!$D$4:$D$30,0)),""))</f>
        <v/>
      </c>
      <c r="J18" s="12">
        <f>IF(COUNTA(D44:D53)=0,"",MIN(D44:D53))</f>
        <v/>
      </c>
      <c r="K18" s="12">
        <f>IF(COUNTA(D44:D53)=0,"",AVERAGE(D44:D53))</f>
        <v/>
      </c>
      <c r="L18" s="12">
        <f>IF(COUNTA(D44:D53)=0,"",MAX(D44:D53))</f>
        <v/>
      </c>
      <c r="M18" s="12">
        <f>IF(G18="","Brak limitu",IF(K18="","Brak danych",IF(K18&gt;G18,"TAK","NIE")))</f>
        <v/>
      </c>
      <c r="N18" s="12">
        <f>IF(G18="","Brak limitu",IF(L18="","Brak danych",IF(L18&gt;G18,"TAK","NIE")))</f>
        <v/>
      </c>
      <c r="O18" s="12">
        <f>IF(AND(ISNUMBER(K18),ISNUMBER(G18)),K18/G18,"")</f>
        <v/>
      </c>
      <c r="P18" s="12">
        <f>IF(AND(ISNUMBER(K18),ISNUMBER(I18)),K18*I18,"")</f>
        <v/>
      </c>
      <c r="Q18" s="12">
        <f>IF(AND(K18&lt;&gt;"",G18=""),"Brak wartości dopuszczalnej w instrukcji — zanieczyszczenie pominięto w indeksie jakości.","")</f>
        <v/>
      </c>
      <c r="R18" s="12">
        <f>IF(AND(K18&lt;&gt;"",I18=""),"Brak współczynnika toksyczności w instrukcji — zanieczyszczenie pominięto w indeksie toksyczności.","")</f>
        <v/>
      </c>
      <c r="S18" s="12">
        <f>SUMIF($B$10:$B$27,B18,$O$10:$O$27)</f>
        <v/>
      </c>
      <c r="T18" s="12">
        <f>SUMIF($B$10:$B$27,B18,$P$10:$P$27)</f>
        <v/>
      </c>
      <c r="U18" s="12" t="inlineStr">
        <is>
          <t>Wskaźnik liczony dla całej stacji</t>
        </is>
      </c>
    </row>
    <row r="19">
      <c r="A19" s="10" t="n">
        <v>4</v>
      </c>
      <c r="B19" s="10" t="inlineStr">
        <is>
          <t>miejska</t>
        </is>
      </c>
      <c r="C19" s="12">
        <f>Powietrze_Dane!$B$57</f>
        <v/>
      </c>
      <c r="D19" s="12">
        <f>Powietrze_Dane!$C$57</f>
        <v/>
      </c>
      <c r="E19" s="12">
        <f>Powietrze_Dane!$D$57</f>
        <v/>
      </c>
      <c r="F19" s="12">
        <f>IF(C19&amp;D19="","",IFERROR(INDEX(Powietrze_Mapowanie!$I$4:$I$40,MATCH(C19,Powietrze_Mapowanie!$G$4:$G$40,0)),IFERROR(INDEX(Powietrze_Mapowanie!$I$4:$I$40,MATCH(D19,Powietrze_Mapowanie!$G$4:$G$40,0)),IF(D19&lt;&gt;"",D19,C19))))</f>
        <v/>
      </c>
      <c r="G19" s="12">
        <f>IF(F19="","",IFERROR(INDEX(Powietrze_Mapowanie!$B$4:$B$20,MATCH(F19,Powietrze_Mapowanie!$A$4:$A$20,0)),""))</f>
        <v/>
      </c>
      <c r="H19" s="12">
        <f>IF(C19&amp;D19="","",IFERROR(INDEX(Powietrze_Mapowanie!$J$4:$J$40,MATCH(C19,Powietrze_Mapowanie!$G$4:$G$40,0)),IFERROR(INDEX(Powietrze_Mapowanie!$J$4:$J$40,MATCH(D19,Powietrze_Mapowanie!$G$4:$G$40,0)),IF(D19&lt;&gt;"",D19,C19))))</f>
        <v/>
      </c>
      <c r="I19" s="12">
        <f>IF(H19="","",IFERROR(INDEX(Powietrze_Mapowanie!$E$4:$E$30,MATCH(H19,Powietrze_Mapowanie!$D$4:$D$30,0)),""))</f>
        <v/>
      </c>
      <c r="J19" s="12">
        <f>IF(COUNTA(B59:B68)=0,"",MIN(B59:B68))</f>
        <v/>
      </c>
      <c r="K19" s="12">
        <f>IF(COUNTA(B59:B68)=0,"",AVERAGE(B59:B68))</f>
        <v/>
      </c>
      <c r="L19" s="12">
        <f>IF(COUNTA(B59:B68)=0,"",MAX(B59:B68))</f>
        <v/>
      </c>
      <c r="M19" s="12">
        <f>IF(G19="","Brak limitu",IF(K19="","Brak danych",IF(K19&gt;G19,"TAK","NIE")))</f>
        <v/>
      </c>
      <c r="N19" s="12">
        <f>IF(G19="","Brak limitu",IF(L19="","Brak danych",IF(L19&gt;G19,"TAK","NIE")))</f>
        <v/>
      </c>
      <c r="O19" s="12">
        <f>IF(AND(ISNUMBER(K19),ISNUMBER(G19)),K19/G19,"")</f>
        <v/>
      </c>
      <c r="P19" s="12">
        <f>IF(AND(ISNUMBER(K19),ISNUMBER(I19)),K19*I19,"")</f>
        <v/>
      </c>
      <c r="Q19" s="12">
        <f>IF(AND(K19&lt;&gt;"",G19=""),"Brak wartości dopuszczalnej w instrukcji — zanieczyszczenie pominięto w indeksie jakości.","")</f>
        <v/>
      </c>
      <c r="R19" s="12">
        <f>IF(AND(K19&lt;&gt;"",I19=""),"Brak współczynnika toksyczności w instrukcji — zanieczyszczenie pominięto w indeksie toksyczności.","")</f>
        <v/>
      </c>
      <c r="S19" s="12">
        <f>SUMIF($B$10:$B$27,B19,$O$10:$O$27)</f>
        <v/>
      </c>
      <c r="T19" s="12">
        <f>SUMIF($B$10:$B$27,B19,$P$10:$P$27)</f>
        <v/>
      </c>
      <c r="U19" s="12" t="inlineStr">
        <is>
          <t>Wskaźnik liczony dla całej stacji</t>
        </is>
      </c>
    </row>
    <row r="20">
      <c r="A20" s="10" t="n">
        <v>4</v>
      </c>
      <c r="B20" s="10" t="inlineStr">
        <is>
          <t>podmiejska</t>
        </is>
      </c>
      <c r="C20" s="12">
        <f>Powietrze_Dane!$B$57</f>
        <v/>
      </c>
      <c r="D20" s="12">
        <f>Powietrze_Dane!$C$57</f>
        <v/>
      </c>
      <c r="E20" s="12">
        <f>Powietrze_Dane!$D$57</f>
        <v/>
      </c>
      <c r="F20" s="12">
        <f>IF(C20&amp;D20="","",IFERROR(INDEX(Powietrze_Mapowanie!$I$4:$I$40,MATCH(C20,Powietrze_Mapowanie!$G$4:$G$40,0)),IFERROR(INDEX(Powietrze_Mapowanie!$I$4:$I$40,MATCH(D20,Powietrze_Mapowanie!$G$4:$G$40,0)),IF(D20&lt;&gt;"",D20,C20))))</f>
        <v/>
      </c>
      <c r="G20" s="12">
        <f>IF(F20="","",IFERROR(INDEX(Powietrze_Mapowanie!$B$4:$B$20,MATCH(F20,Powietrze_Mapowanie!$A$4:$A$20,0)),""))</f>
        <v/>
      </c>
      <c r="H20" s="12">
        <f>IF(C20&amp;D20="","",IFERROR(INDEX(Powietrze_Mapowanie!$J$4:$J$40,MATCH(C20,Powietrze_Mapowanie!$G$4:$G$40,0)),IFERROR(INDEX(Powietrze_Mapowanie!$J$4:$J$40,MATCH(D20,Powietrze_Mapowanie!$G$4:$G$40,0)),IF(D20&lt;&gt;"",D20,C20))))</f>
        <v/>
      </c>
      <c r="I20" s="12">
        <f>IF(H20="","",IFERROR(INDEX(Powietrze_Mapowanie!$E$4:$E$30,MATCH(H20,Powietrze_Mapowanie!$D$4:$D$30,0)),""))</f>
        <v/>
      </c>
      <c r="J20" s="12">
        <f>IF(COUNTA(C59:C68)=0,"",MIN(C59:C68))</f>
        <v/>
      </c>
      <c r="K20" s="12">
        <f>IF(COUNTA(C59:C68)=0,"",AVERAGE(C59:C68))</f>
        <v/>
      </c>
      <c r="L20" s="12">
        <f>IF(COUNTA(C59:C68)=0,"",MAX(C59:C68))</f>
        <v/>
      </c>
      <c r="M20" s="12">
        <f>IF(G20="","Brak limitu",IF(K20="","Brak danych",IF(K20&gt;G20,"TAK","NIE")))</f>
        <v/>
      </c>
      <c r="N20" s="12">
        <f>IF(G20="","Brak limitu",IF(L20="","Brak danych",IF(L20&gt;G20,"TAK","NIE")))</f>
        <v/>
      </c>
      <c r="O20" s="12">
        <f>IF(AND(ISNUMBER(K20),ISNUMBER(G20)),K20/G20,"")</f>
        <v/>
      </c>
      <c r="P20" s="12">
        <f>IF(AND(ISNUMBER(K20),ISNUMBER(I20)),K20*I20,"")</f>
        <v/>
      </c>
      <c r="Q20" s="12">
        <f>IF(AND(K20&lt;&gt;"",G20=""),"Brak wartości dopuszczalnej w instrukcji — zanieczyszczenie pominięto w indeksie jakości.","")</f>
        <v/>
      </c>
      <c r="R20" s="12">
        <f>IF(AND(K20&lt;&gt;"",I20=""),"Brak współczynnika toksyczności w instrukcji — zanieczyszczenie pominięto w indeksie toksyczności.","")</f>
        <v/>
      </c>
      <c r="S20" s="12">
        <f>SUMIF($B$10:$B$27,B20,$O$10:$O$27)</f>
        <v/>
      </c>
      <c r="T20" s="12">
        <f>SUMIF($B$10:$B$27,B20,$P$10:$P$27)</f>
        <v/>
      </c>
      <c r="U20" s="12" t="inlineStr">
        <is>
          <t>Wskaźnik liczony dla całej stacji</t>
        </is>
      </c>
    </row>
    <row r="21">
      <c r="A21" s="10" t="n">
        <v>4</v>
      </c>
      <c r="B21" s="10" t="inlineStr">
        <is>
          <t>pozamiejska</t>
        </is>
      </c>
      <c r="C21" s="12">
        <f>Powietrze_Dane!$B$57</f>
        <v/>
      </c>
      <c r="D21" s="12">
        <f>Powietrze_Dane!$C$57</f>
        <v/>
      </c>
      <c r="E21" s="12">
        <f>Powietrze_Dane!$D$57</f>
        <v/>
      </c>
      <c r="F21" s="12">
        <f>IF(C21&amp;D21="","",IFERROR(INDEX(Powietrze_Mapowanie!$I$4:$I$40,MATCH(C21,Powietrze_Mapowanie!$G$4:$G$40,0)),IFERROR(INDEX(Powietrze_Mapowanie!$I$4:$I$40,MATCH(D21,Powietrze_Mapowanie!$G$4:$G$40,0)),IF(D21&lt;&gt;"",D21,C21))))</f>
        <v/>
      </c>
      <c r="G21" s="12">
        <f>IF(F21="","",IFERROR(INDEX(Powietrze_Mapowanie!$B$4:$B$20,MATCH(F21,Powietrze_Mapowanie!$A$4:$A$20,0)),""))</f>
        <v/>
      </c>
      <c r="H21" s="12">
        <f>IF(C21&amp;D21="","",IFERROR(INDEX(Powietrze_Mapowanie!$J$4:$J$40,MATCH(C21,Powietrze_Mapowanie!$G$4:$G$40,0)),IFERROR(INDEX(Powietrze_Mapowanie!$J$4:$J$40,MATCH(D21,Powietrze_Mapowanie!$G$4:$G$40,0)),IF(D21&lt;&gt;"",D21,C21))))</f>
        <v/>
      </c>
      <c r="I21" s="12">
        <f>IF(H21="","",IFERROR(INDEX(Powietrze_Mapowanie!$E$4:$E$30,MATCH(H21,Powietrze_Mapowanie!$D$4:$D$30,0)),""))</f>
        <v/>
      </c>
      <c r="J21" s="12">
        <f>IF(COUNTA(D59:D68)=0,"",MIN(D59:D68))</f>
        <v/>
      </c>
      <c r="K21" s="12">
        <f>IF(COUNTA(D59:D68)=0,"",AVERAGE(D59:D68))</f>
        <v/>
      </c>
      <c r="L21" s="12">
        <f>IF(COUNTA(D59:D68)=0,"",MAX(D59:D68))</f>
        <v/>
      </c>
      <c r="M21" s="12">
        <f>IF(G21="","Brak limitu",IF(K21="","Brak danych",IF(K21&gt;G21,"TAK","NIE")))</f>
        <v/>
      </c>
      <c r="N21" s="12">
        <f>IF(G21="","Brak limitu",IF(L21="","Brak danych",IF(L21&gt;G21,"TAK","NIE")))</f>
        <v/>
      </c>
      <c r="O21" s="12">
        <f>IF(AND(ISNUMBER(K21),ISNUMBER(G21)),K21/G21,"")</f>
        <v/>
      </c>
      <c r="P21" s="12">
        <f>IF(AND(ISNUMBER(K21),ISNUMBER(I21)),K21*I21,"")</f>
        <v/>
      </c>
      <c r="Q21" s="12">
        <f>IF(AND(K21&lt;&gt;"",G21=""),"Brak wartości dopuszczalnej w instrukcji — zanieczyszczenie pominięto w indeksie jakości.","")</f>
        <v/>
      </c>
      <c r="R21" s="12">
        <f>IF(AND(K21&lt;&gt;"",I21=""),"Brak współczynnika toksyczności w instrukcji — zanieczyszczenie pominięto w indeksie toksyczności.","")</f>
        <v/>
      </c>
      <c r="S21" s="12">
        <f>SUMIF($B$10:$B$27,B21,$O$10:$O$27)</f>
        <v/>
      </c>
      <c r="T21" s="12">
        <f>SUMIF($B$10:$B$27,B21,$P$10:$P$27)</f>
        <v/>
      </c>
      <c r="U21" s="12" t="inlineStr">
        <is>
          <t>Wskaźnik liczony dla całej stacji</t>
        </is>
      </c>
    </row>
    <row r="22">
      <c r="A22" s="10" t="n">
        <v>5</v>
      </c>
      <c r="B22" s="10" t="inlineStr">
        <is>
          <t>miejska</t>
        </is>
      </c>
      <c r="C22" s="12">
        <f>Powietrze_Dane!$B$72</f>
        <v/>
      </c>
      <c r="D22" s="12">
        <f>Powietrze_Dane!$C$72</f>
        <v/>
      </c>
      <c r="E22" s="12">
        <f>Powietrze_Dane!$D$72</f>
        <v/>
      </c>
      <c r="F22" s="12">
        <f>IF(C22&amp;D22="","",IFERROR(INDEX(Powietrze_Mapowanie!$I$4:$I$40,MATCH(C22,Powietrze_Mapowanie!$G$4:$G$40,0)),IFERROR(INDEX(Powietrze_Mapowanie!$I$4:$I$40,MATCH(D22,Powietrze_Mapowanie!$G$4:$G$40,0)),IF(D22&lt;&gt;"",D22,C22))))</f>
        <v/>
      </c>
      <c r="G22" s="12">
        <f>IF(F22="","",IFERROR(INDEX(Powietrze_Mapowanie!$B$4:$B$20,MATCH(F22,Powietrze_Mapowanie!$A$4:$A$20,0)),""))</f>
        <v/>
      </c>
      <c r="H22" s="12">
        <f>IF(C22&amp;D22="","",IFERROR(INDEX(Powietrze_Mapowanie!$J$4:$J$40,MATCH(C22,Powietrze_Mapowanie!$G$4:$G$40,0)),IFERROR(INDEX(Powietrze_Mapowanie!$J$4:$J$40,MATCH(D22,Powietrze_Mapowanie!$G$4:$G$40,0)),IF(D22&lt;&gt;"",D22,C22))))</f>
        <v/>
      </c>
      <c r="I22" s="12">
        <f>IF(H22="","",IFERROR(INDEX(Powietrze_Mapowanie!$E$4:$E$30,MATCH(H22,Powietrze_Mapowanie!$D$4:$D$30,0)),""))</f>
        <v/>
      </c>
      <c r="J22" s="12">
        <f>IF(COUNTA(B74:B83)=0,"",MIN(B74:B83))</f>
        <v/>
      </c>
      <c r="K22" s="12">
        <f>IF(COUNTA(B74:B83)=0,"",AVERAGE(B74:B83))</f>
        <v/>
      </c>
      <c r="L22" s="12">
        <f>IF(COUNTA(B74:B83)=0,"",MAX(B74:B83))</f>
        <v/>
      </c>
      <c r="M22" s="12">
        <f>IF(G22="","Brak limitu",IF(K22="","Brak danych",IF(K22&gt;G22,"TAK","NIE")))</f>
        <v/>
      </c>
      <c r="N22" s="12">
        <f>IF(G22="","Brak limitu",IF(L22="","Brak danych",IF(L22&gt;G22,"TAK","NIE")))</f>
        <v/>
      </c>
      <c r="O22" s="12">
        <f>IF(AND(ISNUMBER(K22),ISNUMBER(G22)),K22/G22,"")</f>
        <v/>
      </c>
      <c r="P22" s="12">
        <f>IF(AND(ISNUMBER(K22),ISNUMBER(I22)),K22*I22,"")</f>
        <v/>
      </c>
      <c r="Q22" s="12">
        <f>IF(AND(K22&lt;&gt;"",G22=""),"Brak wartości dopuszczalnej w instrukcji — zanieczyszczenie pominięto w indeksie jakości.","")</f>
        <v/>
      </c>
      <c r="R22" s="12">
        <f>IF(AND(K22&lt;&gt;"",I22=""),"Brak współczynnika toksyczności w instrukcji — zanieczyszczenie pominięto w indeksie toksyczności.","")</f>
        <v/>
      </c>
      <c r="S22" s="12">
        <f>SUMIF($B$10:$B$27,B22,$O$10:$O$27)</f>
        <v/>
      </c>
      <c r="T22" s="12">
        <f>SUMIF($B$10:$B$27,B22,$P$10:$P$27)</f>
        <v/>
      </c>
      <c r="U22" s="12" t="inlineStr">
        <is>
          <t>Wskaźnik liczony dla całej stacji</t>
        </is>
      </c>
    </row>
    <row r="23">
      <c r="A23" s="10" t="n">
        <v>5</v>
      </c>
      <c r="B23" s="10" t="inlineStr">
        <is>
          <t>podmiejska</t>
        </is>
      </c>
      <c r="C23" s="12">
        <f>Powietrze_Dane!$B$72</f>
        <v/>
      </c>
      <c r="D23" s="12">
        <f>Powietrze_Dane!$C$72</f>
        <v/>
      </c>
      <c r="E23" s="12">
        <f>Powietrze_Dane!$D$72</f>
        <v/>
      </c>
      <c r="F23" s="12">
        <f>IF(C23&amp;D23="","",IFERROR(INDEX(Powietrze_Mapowanie!$I$4:$I$40,MATCH(C23,Powietrze_Mapowanie!$G$4:$G$40,0)),IFERROR(INDEX(Powietrze_Mapowanie!$I$4:$I$40,MATCH(D23,Powietrze_Mapowanie!$G$4:$G$40,0)),IF(D23&lt;&gt;"",D23,C23))))</f>
        <v/>
      </c>
      <c r="G23" s="12">
        <f>IF(F23="","",IFERROR(INDEX(Powietrze_Mapowanie!$B$4:$B$20,MATCH(F23,Powietrze_Mapowanie!$A$4:$A$20,0)),""))</f>
        <v/>
      </c>
      <c r="H23" s="12">
        <f>IF(C23&amp;D23="","",IFERROR(INDEX(Powietrze_Mapowanie!$J$4:$J$40,MATCH(C23,Powietrze_Mapowanie!$G$4:$G$40,0)),IFERROR(INDEX(Powietrze_Mapowanie!$J$4:$J$40,MATCH(D23,Powietrze_Mapowanie!$G$4:$G$40,0)),IF(D23&lt;&gt;"",D23,C23))))</f>
        <v/>
      </c>
      <c r="I23" s="12">
        <f>IF(H23="","",IFERROR(INDEX(Powietrze_Mapowanie!$E$4:$E$30,MATCH(H23,Powietrze_Mapowanie!$D$4:$D$30,0)),""))</f>
        <v/>
      </c>
      <c r="J23" s="12">
        <f>IF(COUNTA(C74:C83)=0,"",MIN(C74:C83))</f>
        <v/>
      </c>
      <c r="K23" s="12">
        <f>IF(COUNTA(C74:C83)=0,"",AVERAGE(C74:C83))</f>
        <v/>
      </c>
      <c r="L23" s="12">
        <f>IF(COUNTA(C74:C83)=0,"",MAX(C74:C83))</f>
        <v/>
      </c>
      <c r="M23" s="12">
        <f>IF(G23="","Brak limitu",IF(K23="","Brak danych",IF(K23&gt;G23,"TAK","NIE")))</f>
        <v/>
      </c>
      <c r="N23" s="12">
        <f>IF(G23="","Brak limitu",IF(L23="","Brak danych",IF(L23&gt;G23,"TAK","NIE")))</f>
        <v/>
      </c>
      <c r="O23" s="12">
        <f>IF(AND(ISNUMBER(K23),ISNUMBER(G23)),K23/G23,"")</f>
        <v/>
      </c>
      <c r="P23" s="12">
        <f>IF(AND(ISNUMBER(K23),ISNUMBER(I23)),K23*I23,"")</f>
        <v/>
      </c>
      <c r="Q23" s="12">
        <f>IF(AND(K23&lt;&gt;"",G23=""),"Brak wartości dopuszczalnej w instrukcji — zanieczyszczenie pominięto w indeksie jakości.","")</f>
        <v/>
      </c>
      <c r="R23" s="12">
        <f>IF(AND(K23&lt;&gt;"",I23=""),"Brak współczynnika toksyczności w instrukcji — zanieczyszczenie pominięto w indeksie toksyczności.","")</f>
        <v/>
      </c>
      <c r="S23" s="12">
        <f>SUMIF($B$10:$B$27,B23,$O$10:$O$27)</f>
        <v/>
      </c>
      <c r="T23" s="12">
        <f>SUMIF($B$10:$B$27,B23,$P$10:$P$27)</f>
        <v/>
      </c>
      <c r="U23" s="12" t="inlineStr">
        <is>
          <t>Wskaźnik liczony dla całej stacji</t>
        </is>
      </c>
    </row>
    <row r="24">
      <c r="A24" s="10" t="n">
        <v>5</v>
      </c>
      <c r="B24" s="10" t="inlineStr">
        <is>
          <t>pozamiejska</t>
        </is>
      </c>
      <c r="C24" s="12">
        <f>Powietrze_Dane!$B$72</f>
        <v/>
      </c>
      <c r="D24" s="12">
        <f>Powietrze_Dane!$C$72</f>
        <v/>
      </c>
      <c r="E24" s="12">
        <f>Powietrze_Dane!$D$72</f>
        <v/>
      </c>
      <c r="F24" s="12">
        <f>IF(C24&amp;D24="","",IFERROR(INDEX(Powietrze_Mapowanie!$I$4:$I$40,MATCH(C24,Powietrze_Mapowanie!$G$4:$G$40,0)),IFERROR(INDEX(Powietrze_Mapowanie!$I$4:$I$40,MATCH(D24,Powietrze_Mapowanie!$G$4:$G$40,0)),IF(D24&lt;&gt;"",D24,C24))))</f>
        <v/>
      </c>
      <c r="G24" s="12">
        <f>IF(F24="","",IFERROR(INDEX(Powietrze_Mapowanie!$B$4:$B$20,MATCH(F24,Powietrze_Mapowanie!$A$4:$A$20,0)),""))</f>
        <v/>
      </c>
      <c r="H24" s="12">
        <f>IF(C24&amp;D24="","",IFERROR(INDEX(Powietrze_Mapowanie!$J$4:$J$40,MATCH(C24,Powietrze_Mapowanie!$G$4:$G$40,0)),IFERROR(INDEX(Powietrze_Mapowanie!$J$4:$J$40,MATCH(D24,Powietrze_Mapowanie!$G$4:$G$40,0)),IF(D24&lt;&gt;"",D24,C24))))</f>
        <v/>
      </c>
      <c r="I24" s="12">
        <f>IF(H24="","",IFERROR(INDEX(Powietrze_Mapowanie!$E$4:$E$30,MATCH(H24,Powietrze_Mapowanie!$D$4:$D$30,0)),""))</f>
        <v/>
      </c>
      <c r="J24" s="12">
        <f>IF(COUNTA(D74:D83)=0,"",MIN(D74:D83))</f>
        <v/>
      </c>
      <c r="K24" s="12">
        <f>IF(COUNTA(D74:D83)=0,"",AVERAGE(D74:D83))</f>
        <v/>
      </c>
      <c r="L24" s="12">
        <f>IF(COUNTA(D74:D83)=0,"",MAX(D74:D83))</f>
        <v/>
      </c>
      <c r="M24" s="12">
        <f>IF(G24="","Brak limitu",IF(K24="","Brak danych",IF(K24&gt;G24,"TAK","NIE")))</f>
        <v/>
      </c>
      <c r="N24" s="12">
        <f>IF(G24="","Brak limitu",IF(L24="","Brak danych",IF(L24&gt;G24,"TAK","NIE")))</f>
        <v/>
      </c>
      <c r="O24" s="12">
        <f>IF(AND(ISNUMBER(K24),ISNUMBER(G24)),K24/G24,"")</f>
        <v/>
      </c>
      <c r="P24" s="12">
        <f>IF(AND(ISNUMBER(K24),ISNUMBER(I24)),K24*I24,"")</f>
        <v/>
      </c>
      <c r="Q24" s="12">
        <f>IF(AND(K24&lt;&gt;"",G24=""),"Brak wartości dopuszczalnej w instrukcji — zanieczyszczenie pominięto w indeksie jakości.","")</f>
        <v/>
      </c>
      <c r="R24" s="12">
        <f>IF(AND(K24&lt;&gt;"",I24=""),"Brak współczynnika toksyczności w instrukcji — zanieczyszczenie pominięto w indeksie toksyczności.","")</f>
        <v/>
      </c>
      <c r="S24" s="12">
        <f>SUMIF($B$10:$B$27,B24,$O$10:$O$27)</f>
        <v/>
      </c>
      <c r="T24" s="12">
        <f>SUMIF($B$10:$B$27,B24,$P$10:$P$27)</f>
        <v/>
      </c>
      <c r="U24" s="12" t="inlineStr">
        <is>
          <t>Wskaźnik liczony dla całej stacji</t>
        </is>
      </c>
    </row>
    <row r="25">
      <c r="A25" s="10" t="n">
        <v>6</v>
      </c>
      <c r="B25" s="10" t="inlineStr">
        <is>
          <t>miejska</t>
        </is>
      </c>
      <c r="C25" s="12">
        <f>Powietrze_Dane!$B$87</f>
        <v/>
      </c>
      <c r="D25" s="12">
        <f>Powietrze_Dane!$C$87</f>
        <v/>
      </c>
      <c r="E25" s="12">
        <f>Powietrze_Dane!$D$87</f>
        <v/>
      </c>
      <c r="F25" s="12">
        <f>IF(C25&amp;D25="","",IFERROR(INDEX(Powietrze_Mapowanie!$I$4:$I$40,MATCH(C25,Powietrze_Mapowanie!$G$4:$G$40,0)),IFERROR(INDEX(Powietrze_Mapowanie!$I$4:$I$40,MATCH(D25,Powietrze_Mapowanie!$G$4:$G$40,0)),IF(D25&lt;&gt;"",D25,C25))))</f>
        <v/>
      </c>
      <c r="G25" s="12">
        <f>IF(F25="","",IFERROR(INDEX(Powietrze_Mapowanie!$B$4:$B$20,MATCH(F25,Powietrze_Mapowanie!$A$4:$A$20,0)),""))</f>
        <v/>
      </c>
      <c r="H25" s="12">
        <f>IF(C25&amp;D25="","",IFERROR(INDEX(Powietrze_Mapowanie!$J$4:$J$40,MATCH(C25,Powietrze_Mapowanie!$G$4:$G$40,0)),IFERROR(INDEX(Powietrze_Mapowanie!$J$4:$J$40,MATCH(D25,Powietrze_Mapowanie!$G$4:$G$40,0)),IF(D25&lt;&gt;"",D25,C25))))</f>
        <v/>
      </c>
      <c r="I25" s="12">
        <f>IF(H25="","",IFERROR(INDEX(Powietrze_Mapowanie!$E$4:$E$30,MATCH(H25,Powietrze_Mapowanie!$D$4:$D$30,0)),""))</f>
        <v/>
      </c>
      <c r="J25" s="12">
        <f>IF(COUNTA(B89:B98)=0,"",MIN(B89:B98))</f>
        <v/>
      </c>
      <c r="K25" s="12">
        <f>IF(COUNTA(B89:B98)=0,"",AVERAGE(B89:B98))</f>
        <v/>
      </c>
      <c r="L25" s="12">
        <f>IF(COUNTA(B89:B98)=0,"",MAX(B89:B98))</f>
        <v/>
      </c>
      <c r="M25" s="12">
        <f>IF(G25="","Brak limitu",IF(K25="","Brak danych",IF(K25&gt;G25,"TAK","NIE")))</f>
        <v/>
      </c>
      <c r="N25" s="12">
        <f>IF(G25="","Brak limitu",IF(L25="","Brak danych",IF(L25&gt;G25,"TAK","NIE")))</f>
        <v/>
      </c>
      <c r="O25" s="12">
        <f>IF(AND(ISNUMBER(K25),ISNUMBER(G25)),K25/G25,"")</f>
        <v/>
      </c>
      <c r="P25" s="12">
        <f>IF(AND(ISNUMBER(K25),ISNUMBER(I25)),K25*I25,"")</f>
        <v/>
      </c>
      <c r="Q25" s="12">
        <f>IF(AND(K25&lt;&gt;"",G25=""),"Brak wartości dopuszczalnej w instrukcji — zanieczyszczenie pominięto w indeksie jakości.","")</f>
        <v/>
      </c>
      <c r="R25" s="12">
        <f>IF(AND(K25&lt;&gt;"",I25=""),"Brak współczynnika toksyczności w instrukcji — zanieczyszczenie pominięto w indeksie toksyczności.","")</f>
        <v/>
      </c>
      <c r="S25" s="12">
        <f>SUMIF($B$10:$B$27,B25,$O$10:$O$27)</f>
        <v/>
      </c>
      <c r="T25" s="12">
        <f>SUMIF($B$10:$B$27,B25,$P$10:$P$27)</f>
        <v/>
      </c>
      <c r="U25" s="12" t="inlineStr">
        <is>
          <t>Wskaźnik liczony dla całej stacji</t>
        </is>
      </c>
    </row>
    <row r="26">
      <c r="A26" s="10" t="n">
        <v>6</v>
      </c>
      <c r="B26" s="10" t="inlineStr">
        <is>
          <t>podmiejska</t>
        </is>
      </c>
      <c r="C26" s="12">
        <f>Powietrze_Dane!$B$87</f>
        <v/>
      </c>
      <c r="D26" s="12">
        <f>Powietrze_Dane!$C$87</f>
        <v/>
      </c>
      <c r="E26" s="12">
        <f>Powietrze_Dane!$D$87</f>
        <v/>
      </c>
      <c r="F26" s="12">
        <f>IF(C26&amp;D26="","",IFERROR(INDEX(Powietrze_Mapowanie!$I$4:$I$40,MATCH(C26,Powietrze_Mapowanie!$G$4:$G$40,0)),IFERROR(INDEX(Powietrze_Mapowanie!$I$4:$I$40,MATCH(D26,Powietrze_Mapowanie!$G$4:$G$40,0)),IF(D26&lt;&gt;"",D26,C26))))</f>
        <v/>
      </c>
      <c r="G26" s="12">
        <f>IF(F26="","",IFERROR(INDEX(Powietrze_Mapowanie!$B$4:$B$20,MATCH(F26,Powietrze_Mapowanie!$A$4:$A$20,0)),""))</f>
        <v/>
      </c>
      <c r="H26" s="12">
        <f>IF(C26&amp;D26="","",IFERROR(INDEX(Powietrze_Mapowanie!$J$4:$J$40,MATCH(C26,Powietrze_Mapowanie!$G$4:$G$40,0)),IFERROR(INDEX(Powietrze_Mapowanie!$J$4:$J$40,MATCH(D26,Powietrze_Mapowanie!$G$4:$G$40,0)),IF(D26&lt;&gt;"",D26,C26))))</f>
        <v/>
      </c>
      <c r="I26" s="12">
        <f>IF(H26="","",IFERROR(INDEX(Powietrze_Mapowanie!$E$4:$E$30,MATCH(H26,Powietrze_Mapowanie!$D$4:$D$30,0)),""))</f>
        <v/>
      </c>
      <c r="J26" s="12">
        <f>IF(COUNTA(C89:C98)=0,"",MIN(C89:C98))</f>
        <v/>
      </c>
      <c r="K26" s="12">
        <f>IF(COUNTA(C89:C98)=0,"",AVERAGE(C89:C98))</f>
        <v/>
      </c>
      <c r="L26" s="12">
        <f>IF(COUNTA(C89:C98)=0,"",MAX(C89:C98))</f>
        <v/>
      </c>
      <c r="M26" s="12">
        <f>IF(G26="","Brak limitu",IF(K26="","Brak danych",IF(K26&gt;G26,"TAK","NIE")))</f>
        <v/>
      </c>
      <c r="N26" s="12">
        <f>IF(G26="","Brak limitu",IF(L26="","Brak danych",IF(L26&gt;G26,"TAK","NIE")))</f>
        <v/>
      </c>
      <c r="O26" s="12">
        <f>IF(AND(ISNUMBER(K26),ISNUMBER(G26)),K26/G26,"")</f>
        <v/>
      </c>
      <c r="P26" s="12">
        <f>IF(AND(ISNUMBER(K26),ISNUMBER(I26)),K26*I26,"")</f>
        <v/>
      </c>
      <c r="Q26" s="12">
        <f>IF(AND(K26&lt;&gt;"",G26=""),"Brak wartości dopuszczalnej w instrukcji — zanieczyszczenie pominięto w indeksie jakości.","")</f>
        <v/>
      </c>
      <c r="R26" s="12">
        <f>IF(AND(K26&lt;&gt;"",I26=""),"Brak współczynnika toksyczności w instrukcji — zanieczyszczenie pominięto w indeksie toksyczności.","")</f>
        <v/>
      </c>
      <c r="S26" s="12">
        <f>SUMIF($B$10:$B$27,B26,$O$10:$O$27)</f>
        <v/>
      </c>
      <c r="T26" s="12">
        <f>SUMIF($B$10:$B$27,B26,$P$10:$P$27)</f>
        <v/>
      </c>
      <c r="U26" s="12" t="inlineStr">
        <is>
          <t>Wskaźnik liczony dla całej stacji</t>
        </is>
      </c>
    </row>
    <row r="27">
      <c r="A27" s="10" t="n">
        <v>6</v>
      </c>
      <c r="B27" s="10" t="inlineStr">
        <is>
          <t>pozamiejska</t>
        </is>
      </c>
      <c r="C27" s="12">
        <f>Powietrze_Dane!$B$87</f>
        <v/>
      </c>
      <c r="D27" s="12">
        <f>Powietrze_Dane!$C$87</f>
        <v/>
      </c>
      <c r="E27" s="12">
        <f>Powietrze_Dane!$D$87</f>
        <v/>
      </c>
      <c r="F27" s="12">
        <f>IF(C27&amp;D27="","",IFERROR(INDEX(Powietrze_Mapowanie!$I$4:$I$40,MATCH(C27,Powietrze_Mapowanie!$G$4:$G$40,0)),IFERROR(INDEX(Powietrze_Mapowanie!$I$4:$I$40,MATCH(D27,Powietrze_Mapowanie!$G$4:$G$40,0)),IF(D27&lt;&gt;"",D27,C27))))</f>
        <v/>
      </c>
      <c r="G27" s="12">
        <f>IF(F27="","",IFERROR(INDEX(Powietrze_Mapowanie!$B$4:$B$20,MATCH(F27,Powietrze_Mapowanie!$A$4:$A$20,0)),""))</f>
        <v/>
      </c>
      <c r="H27" s="12">
        <f>IF(C27&amp;D27="","",IFERROR(INDEX(Powietrze_Mapowanie!$J$4:$J$40,MATCH(C27,Powietrze_Mapowanie!$G$4:$G$40,0)),IFERROR(INDEX(Powietrze_Mapowanie!$J$4:$J$40,MATCH(D27,Powietrze_Mapowanie!$G$4:$G$40,0)),IF(D27&lt;&gt;"",D27,C27))))</f>
        <v/>
      </c>
      <c r="I27" s="12">
        <f>IF(H27="","",IFERROR(INDEX(Powietrze_Mapowanie!$E$4:$E$30,MATCH(H27,Powietrze_Mapowanie!$D$4:$D$30,0)),""))</f>
        <v/>
      </c>
      <c r="J27" s="12">
        <f>IF(COUNTA(D89:D98)=0,"",MIN(D89:D98))</f>
        <v/>
      </c>
      <c r="K27" s="12">
        <f>IF(COUNTA(D89:D98)=0,"",AVERAGE(D89:D98))</f>
        <v/>
      </c>
      <c r="L27" s="12">
        <f>IF(COUNTA(D89:D98)=0,"",MAX(D89:D98))</f>
        <v/>
      </c>
      <c r="M27" s="12">
        <f>IF(G27="","Brak limitu",IF(K27="","Brak danych",IF(K27&gt;G27,"TAK","NIE")))</f>
        <v/>
      </c>
      <c r="N27" s="12">
        <f>IF(G27="","Brak limitu",IF(L27="","Brak danych",IF(L27&gt;G27,"TAK","NIE")))</f>
        <v/>
      </c>
      <c r="O27" s="12">
        <f>IF(AND(ISNUMBER(K27),ISNUMBER(G27)),K27/G27,"")</f>
        <v/>
      </c>
      <c r="P27" s="12">
        <f>IF(AND(ISNUMBER(K27),ISNUMBER(I27)),K27*I27,"")</f>
        <v/>
      </c>
      <c r="Q27" s="12">
        <f>IF(AND(K27&lt;&gt;"",G27=""),"Brak wartości dopuszczalnej w instrukcji — zanieczyszczenie pominięto w indeksie jakości.","")</f>
        <v/>
      </c>
      <c r="R27" s="12">
        <f>IF(AND(K27&lt;&gt;"",I27=""),"Brak współczynnika toksyczności w instrukcji — zanieczyszczenie pominięto w indeksie toksyczności.","")</f>
        <v/>
      </c>
      <c r="S27" s="12">
        <f>SUMIF($B$10:$B$27,B27,$O$10:$O$27)</f>
        <v/>
      </c>
      <c r="T27" s="12">
        <f>SUMIF($B$10:$B$27,B27,$P$10:$P$27)</f>
        <v/>
      </c>
      <c r="U27" s="12" t="inlineStr">
        <is>
          <t>Wskaźnik liczony dla całej stacji</t>
        </is>
      </c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Powietrze - wykresy</t>
        </is>
      </c>
    </row>
    <row r="2">
      <c r="A2" s="13" t="inlineStr">
        <is>
          <t>Wykresy korzystają bezpośrednio z danych z arkusza Powietrze_Dane.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>
      <c r="A1" s="1" t="inlineStr">
        <is>
          <t>Gleba - dane wejściowe</t>
        </is>
      </c>
    </row>
    <row r="2"/>
    <row r="3">
      <c r="A3" s="7" t="inlineStr">
        <is>
          <t>Kwasowość czynna</t>
        </is>
      </c>
    </row>
    <row r="4">
      <c r="A4" s="7" t="inlineStr">
        <is>
          <t>Przedmiot analizy</t>
        </is>
      </c>
      <c r="B4" s="7" t="inlineStr">
        <is>
          <t>Pomiar 1</t>
        </is>
      </c>
      <c r="C4" s="7" t="inlineStr">
        <is>
          <t>Pomiar 2</t>
        </is>
      </c>
      <c r="D4" s="7" t="inlineStr">
        <is>
          <t>Średnia</t>
        </is>
      </c>
    </row>
    <row r="5">
      <c r="A5" s="14" t="inlineStr">
        <is>
          <t>Woda destylowana</t>
        </is>
      </c>
      <c r="B5" s="6" t="n">
        <v>6.7</v>
      </c>
      <c r="C5" s="6" t="n">
        <v>6.8</v>
      </c>
      <c r="D5" s="11">
        <f>IF(COUNTA(B5:C5)=0,"",AVERAGE(B5:C5))</f>
        <v/>
      </c>
    </row>
    <row r="6">
      <c r="A6" s="14" t="inlineStr">
        <is>
          <t>Badana próbka gleby</t>
        </is>
      </c>
      <c r="B6" s="6" t="n">
        <v>5.6</v>
      </c>
      <c r="C6" s="6" t="n">
        <v>5.5</v>
      </c>
      <c r="D6" s="11">
        <f>IF(COUNTA(B6:C6)=0,"",AVERAGE(B6:C6))</f>
        <v/>
      </c>
    </row>
    <row r="7"/>
    <row r="8"/>
    <row r="9">
      <c r="A9" s="7" t="inlineStr">
        <is>
          <t>Kwasowość wymienna</t>
        </is>
      </c>
    </row>
    <row r="10">
      <c r="A10" s="7" t="inlineStr">
        <is>
          <t>Przedmiot analizy</t>
        </is>
      </c>
      <c r="B10" s="7" t="inlineStr">
        <is>
          <t>Pomiar 1</t>
        </is>
      </c>
      <c r="C10" s="7" t="inlineStr">
        <is>
          <t>Pomiar 2</t>
        </is>
      </c>
      <c r="D10" s="7" t="inlineStr">
        <is>
          <t>Średnia</t>
        </is>
      </c>
    </row>
    <row r="11">
      <c r="A11" s="14" t="inlineStr">
        <is>
          <t>KCl</t>
        </is>
      </c>
      <c r="B11" s="6" t="n">
        <v>6.9</v>
      </c>
      <c r="C11" s="6" t="n">
        <v>7</v>
      </c>
      <c r="D11" s="11">
        <f>IF(COUNTA(B11:C11)=0,"",AVERAGE(B11:C11))</f>
        <v/>
      </c>
    </row>
    <row r="12">
      <c r="A12" s="14" t="inlineStr">
        <is>
          <t>Badana próbka gleby</t>
        </is>
      </c>
      <c r="B12" s="6" t="n">
        <v>4.8</v>
      </c>
      <c r="C12" s="6" t="n">
        <v>4.9</v>
      </c>
      <c r="D12" s="11">
        <f>IF(COUNTA(B12:C12)=0,"",AVERAGE(B12:C12))</f>
        <v/>
      </c>
    </row>
    <row r="13"/>
    <row r="14"/>
    <row r="15">
      <c r="A15" s="7" t="inlineStr">
        <is>
          <t>Kwasowość hydrolityczna</t>
        </is>
      </c>
    </row>
    <row r="16">
      <c r="A16" s="7" t="inlineStr">
        <is>
          <t>Parametr</t>
        </is>
      </c>
      <c r="B16" s="7" t="inlineStr">
        <is>
          <t>Wartość</t>
        </is>
      </c>
      <c r="C16" s="7" t="inlineStr">
        <is>
          <t>Jednostka</t>
        </is>
      </c>
    </row>
    <row r="17">
      <c r="A17" s="14" t="inlineStr">
        <is>
          <t>VNaOH</t>
        </is>
      </c>
      <c r="B17" s="6" t="n">
        <v>4.2</v>
      </c>
      <c r="C17" s="14" t="inlineStr">
        <is>
          <t>cm3</t>
        </is>
      </c>
    </row>
    <row r="18">
      <c r="A18" s="14" t="inlineStr">
        <is>
          <t>c_NaOH</t>
        </is>
      </c>
      <c r="B18" s="6" t="n">
        <v>0.1</v>
      </c>
      <c r="C18" s="14" t="inlineStr">
        <is>
          <t>mol/dm3</t>
        </is>
      </c>
    </row>
    <row r="19">
      <c r="A19" s="14" t="inlineStr">
        <is>
          <t>k</t>
        </is>
      </c>
      <c r="B19" s="6" t="n">
        <v>1.75</v>
      </c>
      <c r="C19" s="14" t="inlineStr">
        <is>
          <t>współczynnik</t>
        </is>
      </c>
    </row>
    <row r="20"/>
    <row r="21"/>
    <row r="22">
      <c r="A22" s="7" t="inlineStr">
        <is>
          <t>Suma kationów zasadowych</t>
        </is>
      </c>
    </row>
    <row r="23">
      <c r="A23" s="7" t="inlineStr">
        <is>
          <t>Parametr</t>
        </is>
      </c>
      <c r="B23" s="7" t="inlineStr">
        <is>
          <t>Wartość</t>
        </is>
      </c>
      <c r="C23" s="7" t="inlineStr">
        <is>
          <t>Jednostka</t>
        </is>
      </c>
    </row>
    <row r="24">
      <c r="A24" s="14" t="inlineStr">
        <is>
          <t>V_HCl</t>
        </is>
      </c>
      <c r="B24" s="6" t="n">
        <v>25</v>
      </c>
      <c r="C24" s="14" t="inlineStr">
        <is>
          <t>cm3</t>
        </is>
      </c>
    </row>
    <row r="25">
      <c r="A25" s="14" t="inlineStr">
        <is>
          <t>c_HCl</t>
        </is>
      </c>
      <c r="B25" s="6" t="n">
        <v>0.1</v>
      </c>
      <c r="C25" s="14" t="inlineStr">
        <is>
          <t>mol/dm3</t>
        </is>
      </c>
    </row>
    <row r="26">
      <c r="A26" s="14" t="inlineStr">
        <is>
          <t>V1_NaOH</t>
        </is>
      </c>
      <c r="B26" s="6" t="n">
        <v>7.5</v>
      </c>
      <c r="C26" s="14" t="inlineStr">
        <is>
          <t>cm3</t>
        </is>
      </c>
    </row>
    <row r="27">
      <c r="A27" s="14" t="inlineStr">
        <is>
          <t>c1_NaOH</t>
        </is>
      </c>
      <c r="B27" s="6" t="n">
        <v>0.1</v>
      </c>
      <c r="C27" s="14" t="inlineStr">
        <is>
          <t>mol/dm3</t>
        </is>
      </c>
    </row>
    <row r="28"/>
    <row r="29"/>
    <row r="30">
      <c r="A30" s="7" t="inlineStr">
        <is>
          <t>Parametry dla 1 ha</t>
        </is>
      </c>
    </row>
    <row r="31">
      <c r="A31" s="7" t="inlineStr">
        <is>
          <t>Parametr</t>
        </is>
      </c>
      <c r="B31" s="7" t="inlineStr">
        <is>
          <t>Wartość</t>
        </is>
      </c>
      <c r="C31" s="7" t="inlineStr">
        <is>
          <t>Jednostka</t>
        </is>
      </c>
    </row>
    <row r="32">
      <c r="A32" s="14" t="inlineStr">
        <is>
          <t>p</t>
        </is>
      </c>
      <c r="B32" s="6" t="n">
        <v>10000</v>
      </c>
      <c r="C32" s="14" t="inlineStr">
        <is>
          <t>m2</t>
        </is>
      </c>
    </row>
    <row r="33">
      <c r="A33" s="14" t="inlineStr">
        <is>
          <t>h</t>
        </is>
      </c>
      <c r="B33" s="6" t="n">
        <v>0.2</v>
      </c>
      <c r="C33" s="14" t="inlineStr">
        <is>
          <t>m</t>
        </is>
      </c>
    </row>
    <row r="34">
      <c r="A34" s="14" t="inlineStr">
        <is>
          <t>rho</t>
        </is>
      </c>
      <c r="B34" s="6" t="n">
        <v>1500</v>
      </c>
      <c r="C34" s="14" t="inlineStr">
        <is>
          <t>kg/m3</t>
        </is>
      </c>
    </row>
  </sheetData>
  <mergeCells count="1">
    <mergeCell ref="A1:E1"/>
  </mergeCells>
  <dataValidations count="1">
    <dataValidation sqref="B19" showDropDown="0" showInputMessage="0" showErrorMessage="0" allowBlank="0" type="list">
      <formula1>"1.5,1.75,2.0"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4" customWidth="1" min="4" max="4"/>
    <col width="34" customWidth="1" min="5" max="5"/>
    <col width="18" customWidth="1" min="6" max="6"/>
  </cols>
  <sheetData>
    <row r="1">
      <c r="A1" s="1" t="inlineStr">
        <is>
          <t>Gleba - wyniki</t>
        </is>
      </c>
    </row>
    <row r="2"/>
    <row r="3">
      <c r="A3" s="7" t="inlineStr">
        <is>
          <t>Wynik</t>
        </is>
      </c>
      <c r="B3" s="7" t="inlineStr">
        <is>
          <t>Wartość</t>
        </is>
      </c>
      <c r="C3" s="7" t="inlineStr">
        <is>
          <t>Jednostka</t>
        </is>
      </c>
      <c r="D3" s="7" t="inlineStr">
        <is>
          <t>Uwagi</t>
        </is>
      </c>
    </row>
    <row r="4">
      <c r="A4" s="10" t="inlineStr">
        <is>
          <t>Średnie pH wody destylowanej</t>
        </is>
      </c>
      <c r="B4" s="12">
        <f>IF(COUNTA(Gleba_Dane!B5:C5)=0,"",AVERAGE(Gleba_Dane!B5:C5))</f>
        <v/>
      </c>
      <c r="C4" s="10" t="inlineStr"/>
      <c r="D4" s="10" t="inlineStr">
        <is>
          <t>wartość pomocnicza</t>
        </is>
      </c>
      <c r="E4" s="15" t="inlineStr">
        <is>
          <t>Interpretacja</t>
        </is>
      </c>
    </row>
    <row r="5">
      <c r="A5" s="10" t="inlineStr">
        <is>
          <t>Średnie pH próbki w wodzie</t>
        </is>
      </c>
      <c r="B5" s="12">
        <f>IF(COUNTA(Gleba_Dane!B6:C6)=0,"",AVERAGE(Gleba_Dane!B6:C6))</f>
        <v/>
      </c>
      <c r="C5" s="10" t="inlineStr"/>
      <c r="D5" s="10" t="inlineStr">
        <is>
          <t>kwasowość czynna</t>
        </is>
      </c>
      <c r="E5" s="16" t="inlineStr">
        <is>
          <t>określ kategorię gleby</t>
        </is>
      </c>
    </row>
    <row r="6">
      <c r="A6" s="10" t="inlineStr">
        <is>
          <t>Średnie pH KCl</t>
        </is>
      </c>
      <c r="B6" s="12">
        <f>IF(COUNTA(Gleba_Dane!B11:C11)=0,"",AVERAGE(Gleba_Dane!B11:C11))</f>
        <v/>
      </c>
      <c r="C6" s="10" t="inlineStr"/>
      <c r="D6" s="10" t="inlineStr">
        <is>
          <t>wartość pomocnicza</t>
        </is>
      </c>
      <c r="E6" s="16" t="inlineStr">
        <is>
          <t>odnieś pH KCl do klasy gleby uprawnej i leśnej</t>
        </is>
      </c>
    </row>
    <row r="7">
      <c r="A7" s="10" t="inlineStr">
        <is>
          <t>Średnie pH próbki w KCl</t>
        </is>
      </c>
      <c r="B7" s="12">
        <f>IF(COUNTA(Gleba_Dane!B12:C12)=0,"",AVERAGE(Gleba_Dane!B12:C12))</f>
        <v/>
      </c>
      <c r="C7" s="10" t="inlineStr"/>
      <c r="D7" s="10" t="inlineStr">
        <is>
          <t>podstawa klasyfikacji</t>
        </is>
      </c>
      <c r="E7" s="16" t="inlineStr">
        <is>
          <t>skomentuj Hh, S i T</t>
        </is>
      </c>
    </row>
    <row r="8">
      <c r="A8" s="10" t="inlineStr">
        <is>
          <t>Hh</t>
        </is>
      </c>
      <c r="B8" s="12">
        <f>IF(OR(Gleba_Dane!B17="",Gleba_Dane!B18="",Gleba_Dane!B19=""),"",Gleba_Dane!B17*Gleba_Dane!B18*10*Gleba_Dane!B19)</f>
        <v/>
      </c>
      <c r="C8" s="10" t="inlineStr">
        <is>
          <t>mmol(+)/100 g</t>
        </is>
      </c>
      <c r="D8" s="10" t="inlineStr">
        <is>
          <t>kwasowość hydrolityczna</t>
        </is>
      </c>
    </row>
    <row r="9">
      <c r="A9" s="10" t="inlineStr">
        <is>
          <t>Mz</t>
        </is>
      </c>
      <c r="B9" s="12">
        <f>IF(OR(Gleba_Dane!B32="",Gleba_Dane!B33="",Gleba_Dane!B34=""),"",Gleba_Dane!B32*Gleba_Dane!B33*Gleba_Dane!B34)</f>
        <v/>
      </c>
      <c r="C9" s="10" t="inlineStr">
        <is>
          <t>kg</t>
        </is>
      </c>
      <c r="D9" s="10" t="inlineStr">
        <is>
          <t>masa gleby dla 1 ha</t>
        </is>
      </c>
    </row>
    <row r="10">
      <c r="A10" s="10" t="inlineStr">
        <is>
          <t>Hh_ha</t>
        </is>
      </c>
      <c r="B10" s="12">
        <f>IF(OR(B8="",B9=""),"",B8*B9/100)</f>
        <v/>
      </c>
      <c r="C10" s="10" t="inlineStr">
        <is>
          <t>mol(+)</t>
        </is>
      </c>
      <c r="D10" s="10" t="inlineStr">
        <is>
          <t>całkowita kwasowość hydrolityczna</t>
        </is>
      </c>
    </row>
    <row r="11">
      <c r="A11" s="10" t="inlineStr">
        <is>
          <t>CaO</t>
        </is>
      </c>
      <c r="B11" s="12">
        <f>IF(B10="","",B10*0.028)</f>
        <v/>
      </c>
      <c r="C11" s="10" t="inlineStr">
        <is>
          <t>kg/ha</t>
        </is>
      </c>
      <c r="D11" s="10" t="inlineStr">
        <is>
          <t>zapotrzebowanie na wapno</t>
        </is>
      </c>
    </row>
    <row r="12">
      <c r="A12" s="10" t="inlineStr">
        <is>
          <t>CaCO3</t>
        </is>
      </c>
      <c r="B12" s="12">
        <f>IF(B10="","",B10*0.05)</f>
        <v/>
      </c>
      <c r="C12" s="10" t="inlineStr">
        <is>
          <t>kg/ha</t>
        </is>
      </c>
      <c r="D12" s="10" t="inlineStr">
        <is>
          <t>zapotrzebowanie na wapno</t>
        </is>
      </c>
    </row>
    <row r="13">
      <c r="A13" s="10" t="inlineStr">
        <is>
          <t>S</t>
        </is>
      </c>
      <c r="B13" s="12">
        <f>IF(OR(Gleba_Dane!B24="",Gleba_Dane!B25="",Gleba_Dane!B26="",Gleba_Dane!B27=""),"",(Gleba_Dane!B24*Gleba_Dane!B25-Gleba_Dane!B26*Gleba_Dane!B27)*4*5)</f>
        <v/>
      </c>
      <c r="C13" s="10" t="inlineStr">
        <is>
          <t>mmol(+)/100 g</t>
        </is>
      </c>
      <c r="D13" s="10" t="inlineStr">
        <is>
          <t>suma kationów zasadowych</t>
        </is>
      </c>
    </row>
    <row r="14">
      <c r="A14" s="10" t="inlineStr">
        <is>
          <t>T</t>
        </is>
      </c>
      <c r="B14" s="12">
        <f>IF(OR(B8="",B13=""),"",B8+B13)</f>
        <v/>
      </c>
      <c r="C14" s="10" t="inlineStr">
        <is>
          <t>mmol(+)/100 g</t>
        </is>
      </c>
      <c r="D14" s="10" t="inlineStr">
        <is>
          <t>pojemność sorpcyjna</t>
        </is>
      </c>
    </row>
    <row r="15">
      <c r="A15" s="10" t="inlineStr">
        <is>
          <t>Klasa gleby uprawnej</t>
        </is>
      </c>
      <c r="B15" s="12">
        <f>IF(B7="","Brak danych",IF(B7&lt;=4,"bardzo kwaśne",IF(B7&lt;=4.5,"kwaśne",IF(B7&lt;=5,"średnio kwaśne",IF(B7&lt;=6,"słabo kwaśne",IF(B7&lt;=6.5,"obojętne",IF(B7&lt;=7,"słabo alkaliczne",IF(B7&lt;=7.5,"średnio alkaliczne","alkaliczne"))))))))</f>
        <v/>
      </c>
      <c r="C15" s="10" t="inlineStr"/>
      <c r="D15" s="10" t="inlineStr">
        <is>
          <t>klasyfikacja</t>
        </is>
      </c>
    </row>
    <row r="16">
      <c r="A16" s="10" t="inlineStr">
        <is>
          <t>Klasa gleby leśnej</t>
        </is>
      </c>
      <c r="B16" s="12">
        <f>IF(B7="","Brak danych",IF(B7&lt;=3.5,"bardzo silnie kwaśne",IF(B7&lt;=4.5,"silnie kwaśne",IF(B7&lt;=5.5,"kwaśne",IF(B7&lt;=6.5,"słabo kwaśne",IF(B7&lt;=7.2,"obojętne",IF(B7&lt;=8,"słabo alkaliczne","alkaliczne")))))))</f>
        <v/>
      </c>
      <c r="C16" s="10" t="inlineStr"/>
      <c r="D16" s="10" t="inlineStr">
        <is>
          <t>klasyfikacja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Gleba - wizualizacje pomocnicze</t>
        </is>
      </c>
    </row>
    <row r="2">
      <c r="A2" s="17" t="inlineStr">
        <is>
          <t>Wizualizacje pomocnicze</t>
        </is>
      </c>
    </row>
    <row r="3"/>
    <row r="4">
      <c r="A4" s="14" t="inlineStr">
        <is>
          <t>Porównanie pH</t>
        </is>
      </c>
      <c r="B4" s="11" t="n"/>
    </row>
    <row r="5">
      <c r="A5" s="14" t="inlineStr">
        <is>
          <t>Średnie pH wody destylowanej</t>
        </is>
      </c>
      <c r="B5" s="11">
        <f>Gleba_Wyniki!B5</f>
        <v/>
      </c>
    </row>
    <row r="6">
      <c r="A6" s="14" t="inlineStr">
        <is>
          <t>Średnie pH próbki w wodzie</t>
        </is>
      </c>
      <c r="B6" s="11">
        <f>Gleba_Wyniki!B6</f>
        <v/>
      </c>
    </row>
    <row r="7">
      <c r="A7" s="14" t="inlineStr">
        <is>
          <t>Średnie pH KCl</t>
        </is>
      </c>
      <c r="B7" s="11">
        <f>Gleba_Wyniki!B7</f>
        <v/>
      </c>
    </row>
    <row r="8">
      <c r="A8" s="14" t="inlineStr">
        <is>
          <t>Średnie pH próbki w KCl</t>
        </is>
      </c>
      <c r="B8" s="11">
        <f>Gleba_Wyniki!B8</f>
        <v/>
      </c>
    </row>
    <row r="9"/>
    <row r="10"/>
    <row r="11"/>
    <row r="12">
      <c r="A12" s="14" t="inlineStr">
        <is>
          <t>Hh vs S vs T</t>
        </is>
      </c>
      <c r="B12" s="11" t="n"/>
    </row>
    <row r="13">
      <c r="A13" s="14" t="inlineStr">
        <is>
          <t>Hh</t>
        </is>
      </c>
      <c r="B13" s="11">
        <f>Gleba_Wyniki!B8</f>
        <v/>
      </c>
    </row>
    <row r="14">
      <c r="A14" s="14" t="inlineStr">
        <is>
          <t>S</t>
        </is>
      </c>
      <c r="B14" s="11">
        <f>Gleba_Wyniki!B13</f>
        <v/>
      </c>
    </row>
    <row r="15">
      <c r="A15" s="14" t="inlineStr">
        <is>
          <t>T</t>
        </is>
      </c>
      <c r="B15" s="11">
        <f>Gleba_Wyniki!B14</f>
        <v/>
      </c>
    </row>
    <row r="16"/>
    <row r="17"/>
    <row r="18"/>
    <row r="19">
      <c r="A19" s="14" t="inlineStr">
        <is>
          <t>CaO vs CaCO3</t>
        </is>
      </c>
      <c r="B19" s="11" t="n"/>
    </row>
    <row r="20">
      <c r="A20" s="14" t="inlineStr">
        <is>
          <t>CaO</t>
        </is>
      </c>
      <c r="B20" s="11">
        <f>Gleba_Wyniki!B11</f>
        <v/>
      </c>
    </row>
    <row r="21">
      <c r="A21" s="14" t="inlineStr">
        <is>
          <t>CaCO3</t>
        </is>
      </c>
      <c r="B21" s="11">
        <f>Gleba_Wyniki!B12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2026-04-10T18:24:55Z</dcterms:created>
  <dcterms:modified xmlns:dcterms="http://purl.org/dc/terms/" xmlns:xsi="http://www.w3.org/2001/XMLSchema-instance" xsi:type="dcterms:W3CDTF">2026-04-10T18:24:55Z</dcterms:modified>
</cp:coreProperties>
</file>